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leeck/Desktop/"/>
    </mc:Choice>
  </mc:AlternateContent>
  <xr:revisionPtr revIDLastSave="0" documentId="13_ncr:1_{ACE021A8-7C6E-474F-A5A3-7F867157C387}" xr6:coauthVersionLast="47" xr6:coauthVersionMax="47" xr10:uidLastSave="{00000000-0000-0000-0000-000000000000}"/>
  <bookViews>
    <workbookView xWindow="4720" yWindow="2460" windowWidth="43160" windowHeight="23040" tabRatio="376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Q4" i="1" l="1"/>
  <c r="CB14" i="1"/>
  <c r="D10" i="1"/>
  <c r="BW10" i="1" s="1"/>
  <c r="BS10" i="1"/>
  <c r="D9" i="1"/>
  <c r="BS9" i="1"/>
  <c r="D8" i="1"/>
  <c r="BW8" i="1" s="1"/>
  <c r="BX8" i="1" s="1"/>
  <c r="BS8" i="1"/>
  <c r="D7" i="1"/>
  <c r="BW7" i="1" s="1"/>
  <c r="BS7" i="1"/>
  <c r="D6" i="1"/>
  <c r="BW6" i="1" s="1"/>
  <c r="BX6" i="1" s="1"/>
  <c r="BS6" i="1"/>
  <c r="D5" i="1"/>
  <c r="BS5" i="1"/>
  <c r="D4" i="1"/>
  <c r="BS4" i="1"/>
  <c r="BQ10" i="1"/>
  <c r="BQ9" i="1"/>
  <c r="BQ8" i="1"/>
  <c r="BQ7" i="1"/>
  <c r="BQ6" i="1"/>
  <c r="BQ5" i="1"/>
  <c r="BK31" i="1"/>
  <c r="BK23" i="1"/>
  <c r="BK12" i="1"/>
  <c r="BK32" i="1" s="1"/>
  <c r="BK39" i="1" s="1"/>
  <c r="BK20" i="1" s="1"/>
  <c r="BK21" i="1" s="1"/>
  <c r="BE31" i="1"/>
  <c r="BE23" i="1"/>
  <c r="BE12" i="1"/>
  <c r="BE32" i="1"/>
  <c r="BE39" i="1" s="1"/>
  <c r="BE20" i="1" s="1"/>
  <c r="BE21" i="1" s="1"/>
  <c r="BH31" i="1"/>
  <c r="BH39" i="1" s="1"/>
  <c r="BH20" i="1" s="1"/>
  <c r="BH21" i="1" s="1"/>
  <c r="BH12" i="1"/>
  <c r="BH32" i="1" s="1"/>
  <c r="BB31" i="1"/>
  <c r="BB12" i="1"/>
  <c r="BB32" i="1" s="1"/>
  <c r="AY31" i="1"/>
  <c r="AY12" i="1"/>
  <c r="AY32" i="1"/>
  <c r="AY39" i="1"/>
  <c r="AY20" i="1" s="1"/>
  <c r="AY21" i="1" s="1"/>
  <c r="AV31" i="1"/>
  <c r="AV39" i="1" s="1"/>
  <c r="AV20" i="1" s="1"/>
  <c r="AV21" i="1" s="1"/>
  <c r="AV12" i="1"/>
  <c r="AV32" i="1" s="1"/>
  <c r="AS31" i="1"/>
  <c r="AS12" i="1"/>
  <c r="AS32" i="1" s="1"/>
  <c r="AP31" i="1"/>
  <c r="AP12" i="1"/>
  <c r="AP32" i="1"/>
  <c r="AP39" i="1"/>
  <c r="AP20" i="1" s="1"/>
  <c r="AP21" i="1" s="1"/>
  <c r="AM31" i="1"/>
  <c r="AM12" i="1"/>
  <c r="AM32" i="1" s="1"/>
  <c r="AJ31" i="1"/>
  <c r="AJ12" i="1"/>
  <c r="AJ32" i="1" s="1"/>
  <c r="AG31" i="1"/>
  <c r="AG12" i="1"/>
  <c r="AG32" i="1"/>
  <c r="AG39" i="1" s="1"/>
  <c r="AG20" i="1" s="1"/>
  <c r="AG21" i="1" s="1"/>
  <c r="AD31" i="1"/>
  <c r="AD12" i="1"/>
  <c r="AD32" i="1" s="1"/>
  <c r="AA31" i="1"/>
  <c r="AA12" i="1"/>
  <c r="AA32" i="1" s="1"/>
  <c r="X31" i="1"/>
  <c r="X12" i="1"/>
  <c r="X32" i="1"/>
  <c r="X39" i="1"/>
  <c r="X20" i="1" s="1"/>
  <c r="X21" i="1" s="1"/>
  <c r="U31" i="1"/>
  <c r="U39" i="1" s="1"/>
  <c r="U20" i="1" s="1"/>
  <c r="U21" i="1" s="1"/>
  <c r="U12" i="1"/>
  <c r="U32" i="1" s="1"/>
  <c r="R31" i="1"/>
  <c r="R12" i="1"/>
  <c r="R32" i="1" s="1"/>
  <c r="O31" i="1"/>
  <c r="O12" i="1"/>
  <c r="O32" i="1"/>
  <c r="O39" i="1"/>
  <c r="O20" i="1" s="1"/>
  <c r="O21" i="1" s="1"/>
  <c r="L31" i="1"/>
  <c r="L12" i="1"/>
  <c r="L32" i="1" s="1"/>
  <c r="I31" i="1"/>
  <c r="I12" i="1"/>
  <c r="I32" i="1" s="1"/>
  <c r="CD10" i="1"/>
  <c r="CD9" i="1"/>
  <c r="CD8" i="1"/>
  <c r="CD7" i="1"/>
  <c r="CD6" i="1"/>
  <c r="CD5" i="1"/>
  <c r="CD4" i="1"/>
  <c r="BQ38" i="1"/>
  <c r="AS23" i="1"/>
  <c r="AV23" i="1"/>
  <c r="AY23" i="1"/>
  <c r="BB23" i="1"/>
  <c r="AP23" i="1"/>
  <c r="AM23" i="1"/>
  <c r="AJ23" i="1"/>
  <c r="AG23" i="1"/>
  <c r="BQ37" i="1"/>
  <c r="BQ18" i="1"/>
  <c r="BQ17" i="1"/>
  <c r="BQ3" i="1"/>
  <c r="BQ32" i="1"/>
  <c r="CB13" i="1"/>
  <c r="X23" i="1"/>
  <c r="U23" i="1"/>
  <c r="R23" i="1"/>
  <c r="O23" i="1"/>
  <c r="BQ27" i="1"/>
  <c r="BQ26" i="1"/>
  <c r="BN12" i="1"/>
  <c r="BN32" i="1" s="1"/>
  <c r="BN39" i="1" s="1"/>
  <c r="BN20" i="1" s="1"/>
  <c r="BN21" i="1" s="1"/>
  <c r="BZ10" i="1"/>
  <c r="E9" i="1"/>
  <c r="E10" i="1"/>
  <c r="BN31" i="1"/>
  <c r="BN23" i="1"/>
  <c r="BQ36" i="1"/>
  <c r="BQ29" i="1"/>
  <c r="BQ30" i="1"/>
  <c r="BZ4" i="1"/>
  <c r="BQ13" i="1"/>
  <c r="BQ12" i="1"/>
  <c r="BZ9" i="1"/>
  <c r="BZ7" i="1"/>
  <c r="BZ8" i="1"/>
  <c r="BH23" i="1"/>
  <c r="AD23" i="1"/>
  <c r="AA23" i="1"/>
  <c r="L23" i="1"/>
  <c r="I23" i="1"/>
  <c r="BQ23" i="1"/>
  <c r="BZ5" i="1"/>
  <c r="BZ6" i="1"/>
  <c r="BQ11" i="1"/>
  <c r="BQ14" i="1"/>
  <c r="BQ15" i="1"/>
  <c r="BQ16" i="1"/>
  <c r="BQ19" i="1"/>
  <c r="BQ20" i="1"/>
  <c r="BQ21" i="1"/>
  <c r="BQ22" i="1"/>
  <c r="BQ24" i="1"/>
  <c r="BQ25" i="1"/>
  <c r="BQ28" i="1"/>
  <c r="BQ31" i="1"/>
  <c r="BQ33" i="1"/>
  <c r="BQ34" i="1"/>
  <c r="BQ35" i="1"/>
  <c r="BQ39" i="1"/>
  <c r="I39" i="1" l="1"/>
  <c r="I20" i="1" s="1"/>
  <c r="I21" i="1" s="1"/>
  <c r="BW4" i="1"/>
  <c r="BX4" i="1" s="1"/>
  <c r="E7" i="1"/>
  <c r="E8" i="1"/>
  <c r="E6" i="1"/>
  <c r="BB39" i="1"/>
  <c r="BB20" i="1" s="1"/>
  <c r="BB21" i="1" s="1"/>
  <c r="BX7" i="1"/>
  <c r="CI7" i="1"/>
  <c r="AA39" i="1"/>
  <c r="AA20" i="1" s="1"/>
  <c r="AA21" i="1" s="1"/>
  <c r="AM39" i="1"/>
  <c r="AM20" i="1" s="1"/>
  <c r="AM21" i="1" s="1"/>
  <c r="AD39" i="1"/>
  <c r="AD20" i="1" s="1"/>
  <c r="AD21" i="1" s="1"/>
  <c r="AJ39" i="1"/>
  <c r="AJ20" i="1" s="1"/>
  <c r="AJ21" i="1" s="1"/>
  <c r="L39" i="1"/>
  <c r="L20" i="1" s="1"/>
  <c r="L21" i="1" s="1"/>
  <c r="AS39" i="1"/>
  <c r="AS20" i="1" s="1"/>
  <c r="AS21" i="1" s="1"/>
  <c r="R39" i="1"/>
  <c r="R20" i="1" s="1"/>
  <c r="R21" i="1" s="1"/>
  <c r="BX10" i="1"/>
  <c r="CI10" i="1"/>
  <c r="CI8" i="1"/>
  <c r="E5" i="1"/>
  <c r="BW5" i="1"/>
  <c r="BX5" i="1" s="1"/>
  <c r="CI6" i="1"/>
  <c r="E4" i="1"/>
  <c r="BW9" i="1"/>
  <c r="BX9" i="1" s="1"/>
  <c r="CI4" i="1" l="1"/>
  <c r="CI9" i="1"/>
  <c r="CI5" i="1"/>
</calcChain>
</file>

<file path=xl/sharedStrings.xml><?xml version="1.0" encoding="utf-8"?>
<sst xmlns="http://schemas.openxmlformats.org/spreadsheetml/2006/main" count="184" uniqueCount="115">
  <si>
    <t>Begin</t>
  </si>
  <si>
    <t xml:space="preserve"> </t>
  </si>
  <si>
    <t>Privates</t>
  </si>
  <si>
    <t>Income</t>
  </si>
  <si>
    <t>End</t>
  </si>
  <si>
    <t>Player</t>
  </si>
  <si>
    <t>Cash</t>
  </si>
  <si>
    <t>Worth</t>
  </si>
  <si>
    <t>P</t>
  </si>
  <si>
    <t>Owned</t>
  </si>
  <si>
    <t>+/-</t>
  </si>
  <si>
    <t>Shares</t>
  </si>
  <si>
    <t>Market</t>
  </si>
  <si>
    <t>Trains in Bank</t>
  </si>
  <si>
    <t>Type</t>
  </si>
  <si>
    <t>Cost</t>
  </si>
  <si>
    <t>Price</t>
  </si>
  <si>
    <t>Market</t>
  </si>
  <si>
    <t>Begin Funds</t>
  </si>
  <si>
    <t>Private Companies</t>
  </si>
  <si>
    <t>Track</t>
  </si>
  <si>
    <t>No.</t>
  </si>
  <si>
    <t>Train Purchases</t>
  </si>
  <si>
    <t>Withholdings</t>
  </si>
  <si>
    <t>Train Sales</t>
  </si>
  <si>
    <t>Costs/Profits</t>
  </si>
  <si>
    <t>4/4</t>
  </si>
  <si>
    <t>3/3</t>
  </si>
  <si>
    <t>Initial Stock Round</t>
  </si>
  <si>
    <t>Name</t>
  </si>
  <si>
    <t>INCOME</t>
  </si>
  <si>
    <t>EXPENSES</t>
  </si>
  <si>
    <t>End Funds</t>
  </si>
  <si>
    <t>Dividends</t>
  </si>
  <si>
    <t>Divs</t>
  </si>
  <si>
    <t>Certs</t>
  </si>
  <si>
    <t>Qty.</t>
  </si>
  <si>
    <t>Player 1</t>
  </si>
  <si>
    <t>Player 2</t>
  </si>
  <si>
    <t>Player 3</t>
  </si>
  <si>
    <t>Player 4</t>
  </si>
  <si>
    <t>Player 5</t>
  </si>
  <si>
    <t>Player 6</t>
  </si>
  <si>
    <t>Company</t>
  </si>
  <si>
    <t>Redeem Shares</t>
  </si>
  <si>
    <t>5/5</t>
  </si>
  <si>
    <t>Total</t>
  </si>
  <si>
    <t>Number</t>
  </si>
  <si>
    <t xml:space="preserve">of Players: </t>
  </si>
  <si>
    <t>∞</t>
  </si>
  <si>
    <t>2+</t>
  </si>
  <si>
    <t>12/12</t>
  </si>
  <si>
    <t>8/8</t>
  </si>
  <si>
    <t>Player 7</t>
  </si>
  <si>
    <t>Phase 2</t>
  </si>
  <si>
    <t>A</t>
  </si>
  <si>
    <t>B</t>
  </si>
  <si>
    <t>Pitt Steel Mill</t>
  </si>
  <si>
    <t>Mountain Eng</t>
  </si>
  <si>
    <t>Ohio Bridge</t>
  </si>
  <si>
    <t>Union Bridge</t>
  </si>
  <si>
    <t>Train Station</t>
  </si>
  <si>
    <t>Minor Coal</t>
  </si>
  <si>
    <t>Coal Mine</t>
  </si>
  <si>
    <t>Major Coal</t>
  </si>
  <si>
    <t>Minor Mail</t>
  </si>
  <si>
    <t>Mail Contract</t>
  </si>
  <si>
    <t>Major Mail</t>
  </si>
  <si>
    <t>Acquisition Costs</t>
  </si>
  <si>
    <t>Private Revenues</t>
  </si>
  <si>
    <t>Privates Owned</t>
  </si>
  <si>
    <t># Share Company</t>
  </si>
  <si>
    <t>Loans</t>
  </si>
  <si>
    <t>Pay Loan Fees</t>
  </si>
  <si>
    <t>Repay Loan</t>
  </si>
  <si>
    <t>Station Purchases</t>
  </si>
  <si>
    <t>Outstanding Loans</t>
  </si>
  <si>
    <t>Bank of New York</t>
  </si>
  <si>
    <t>Loans Outstanding</t>
  </si>
  <si>
    <t>Future Loan Fee</t>
  </si>
  <si>
    <t>Current Loan Fee</t>
  </si>
  <si>
    <t>AA</t>
  </si>
  <si>
    <t>BA</t>
  </si>
  <si>
    <t>BESS</t>
  </si>
  <si>
    <t>BELT</t>
  </si>
  <si>
    <t>EJE</t>
  </si>
  <si>
    <t>GTW</t>
  </si>
  <si>
    <t>LR</t>
  </si>
  <si>
    <t>ME</t>
  </si>
  <si>
    <t>NYOW</t>
  </si>
  <si>
    <t>NYSW</t>
  </si>
  <si>
    <t>RUT</t>
  </si>
  <si>
    <t>UR</t>
  </si>
  <si>
    <t>ALT</t>
  </si>
  <si>
    <t>Loan Proceeds</t>
  </si>
  <si>
    <t>PSN</t>
  </si>
  <si>
    <t>Equity</t>
  </si>
  <si>
    <t>Trains Owned</t>
  </si>
  <si>
    <t>Seed Money</t>
  </si>
  <si>
    <t>Remaining</t>
  </si>
  <si>
    <t>Purchasing</t>
  </si>
  <si>
    <t>Dividends Paid</t>
  </si>
  <si>
    <t>Station Tokens</t>
  </si>
  <si>
    <t>Exported Trains</t>
  </si>
  <si>
    <t>Share Sales</t>
  </si>
  <si>
    <t>Stock</t>
  </si>
  <si>
    <t>Actions</t>
  </si>
  <si>
    <t>HOU</t>
  </si>
  <si>
    <t>PLE</t>
  </si>
  <si>
    <t>PW</t>
  </si>
  <si>
    <t>WC</t>
  </si>
  <si>
    <t>C</t>
  </si>
  <si>
    <t>Other Capital</t>
  </si>
  <si>
    <t>STR</t>
  </si>
  <si>
    <t>W&amp;T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</si>
</sst>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&quot;$&quot;_-;\-* #,##0.00\ &quot;$&quot;_-;_-* &quot;-&quot;??\ &quot;$&quot;_-;_-@_-"/>
    <numFmt numFmtId="165" formatCode="_-* #,##0.00\ _$_-;\-* #,##0.00\ _$_-;_-* &quot;-&quot;??\ _$_-;_-@_-"/>
    <numFmt numFmtId="166" formatCode="[&lt;=0]#&quot; -&quot;;General"/>
    <numFmt numFmtId="167" formatCode="#"/>
    <numFmt numFmtId="168" formatCode="[$$-409]#,##0;\-[$$-409]#,##0"/>
    <numFmt numFmtId="169" formatCode="&quot;$&quot;#,##0"/>
    <numFmt numFmtId="170" formatCode="[&lt;=0]#&quot;None&quot;;General"/>
    <numFmt numFmtId="171" formatCode="[&lt;=0]#&quot; -&quot;;&quot;$&quot;#,##0"/>
    <numFmt numFmtId="172" formatCode="[=0]#&quot; -&quot;;&quot;$&quot;#,##0"/>
    <numFmt numFmtId="173" formatCode="[=0]#&quot; -&quot;;#,##0"/>
  </numFmts>
  <fonts count="37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b/>
      <i/>
      <sz val="10"/>
      <color indexed="9"/>
      <name val="Arial"/>
      <family val="2"/>
    </font>
    <font>
      <b/>
      <sz val="9"/>
      <name val="Arial"/>
      <family val="2"/>
    </font>
    <font>
      <b/>
      <sz val="9"/>
      <color indexed="16"/>
      <name val="Arial"/>
      <family val="2"/>
    </font>
    <font>
      <b/>
      <sz val="24"/>
      <name val="Copperplate Gothic Bold"/>
      <family val="2"/>
    </font>
    <font>
      <b/>
      <sz val="9"/>
      <color indexed="17"/>
      <name val="Arial"/>
      <family val="2"/>
    </font>
    <font>
      <b/>
      <sz val="9"/>
      <color indexed="10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9"/>
      <color rgb="FFFF0000"/>
      <name val="Arial"/>
      <family val="2"/>
    </font>
    <font>
      <b/>
      <sz val="9"/>
      <color theme="5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rgb="FFFFFF00"/>
      <name val="Arial"/>
      <family val="2"/>
    </font>
    <font>
      <b/>
      <sz val="9"/>
      <color theme="6" tint="-0.499984740745262"/>
      <name val="Arial"/>
      <family val="2"/>
    </font>
    <font>
      <b/>
      <sz val="10"/>
      <color rgb="FFFF0000"/>
      <name val="Arial"/>
      <family val="2"/>
    </font>
    <font>
      <b/>
      <sz val="9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19"/>
        <bgColor indexed="54"/>
      </patternFill>
    </fill>
    <fill>
      <patternFill patternType="solid">
        <fgColor indexed="53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8"/>
        <bgColor indexed="58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7"/>
        <bgColor indexed="17"/>
      </patternFill>
    </fill>
    <fill>
      <patternFill patternType="solid">
        <fgColor indexed="8"/>
        <bgColor indexed="23"/>
      </patternFill>
    </fill>
    <fill>
      <patternFill patternType="solid">
        <fgColor indexed="36"/>
        <bgColor indexed="53"/>
      </patternFill>
    </fill>
    <fill>
      <patternFill patternType="solid">
        <fgColor indexed="33"/>
        <bgColor indexed="39"/>
      </patternFill>
    </fill>
    <fill>
      <patternFill patternType="solid">
        <fgColor indexed="8"/>
        <b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9"/>
      </patternFill>
    </fill>
    <fill>
      <patternFill patternType="solid">
        <fgColor indexed="25"/>
        <bgColor indexed="60"/>
      </patternFill>
    </fill>
    <fill>
      <patternFill patternType="solid">
        <fgColor indexed="34"/>
        <bgColor indexed="39"/>
      </patternFill>
    </fill>
    <fill>
      <patternFill patternType="solid">
        <fgColor indexed="26"/>
        <b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16"/>
        <bgColor indexed="9"/>
      </patternFill>
    </fill>
    <fill>
      <patternFill patternType="solid">
        <fgColor indexed="17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9"/>
      </patternFill>
    </fill>
    <fill>
      <patternFill patternType="solid">
        <fgColor theme="5" tint="0.39997558519241921"/>
        <bgColor indexed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58"/>
      </patternFill>
    </fill>
    <fill>
      <patternFill patternType="solid">
        <fgColor rgb="FFFF0000"/>
        <bgColor indexed="60"/>
      </patternFill>
    </fill>
    <fill>
      <patternFill patternType="solid">
        <fgColor theme="6" tint="-0.499984740745262"/>
        <bgColor indexed="35"/>
      </patternFill>
    </fill>
    <fill>
      <patternFill patternType="solid">
        <fgColor theme="9" tint="-0.249977111117893"/>
        <bgColor indexed="60"/>
      </patternFill>
    </fill>
    <fill>
      <patternFill patternType="solid">
        <fgColor rgb="FFFFFF00"/>
        <bgColor indexed="34"/>
      </patternFill>
    </fill>
    <fill>
      <patternFill patternType="solid">
        <fgColor rgb="FF00CC00"/>
        <bgColor indexed="34"/>
      </patternFill>
    </fill>
    <fill>
      <patternFill patternType="solid">
        <fgColor theme="4" tint="0.39997558519241921"/>
        <bgColor indexed="34"/>
      </patternFill>
    </fill>
    <fill>
      <patternFill patternType="solid">
        <fgColor theme="1" tint="0.249977111117893"/>
        <bgColor indexed="39"/>
      </patternFill>
    </fill>
    <fill>
      <patternFill patternType="solid">
        <fgColor theme="6" tint="0.39997558519241921"/>
        <bgColor indexed="55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1" tint="0.34998626667073579"/>
        <bgColor indexed="3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9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0" tint="-0.499984740745262"/>
        <bgColor indexed="39"/>
      </patternFill>
    </fill>
    <fill>
      <patternFill patternType="solid">
        <fgColor theme="2" tint="-0.499984740745262"/>
        <bgColor indexed="34"/>
      </patternFill>
    </fill>
    <fill>
      <patternFill patternType="solid">
        <fgColor theme="1"/>
        <bgColor indexed="34"/>
      </patternFill>
    </fill>
    <fill>
      <patternFill patternType="solid">
        <fgColor theme="5" tint="-0.249977111117893"/>
        <bgColor indexed="34"/>
      </patternFill>
    </fill>
    <fill>
      <patternFill patternType="solid">
        <fgColor rgb="FFFF0000"/>
        <bgColor indexed="34"/>
      </patternFill>
    </fill>
    <fill>
      <patternFill patternType="solid">
        <fgColor theme="9"/>
        <bgColor indexed="3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Font="0" applyBorder="0" applyAlignment="0" applyProtection="0"/>
  </cellStyleXfs>
  <cellXfs count="29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49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1" fontId="4" fillId="8" borderId="0" xfId="0" applyNumberFormat="1" applyFont="1" applyFill="1" applyAlignment="1">
      <alignment horizontal="center"/>
    </xf>
    <xf numFmtId="167" fontId="4" fillId="8" borderId="0" xfId="0" applyNumberFormat="1" applyFont="1" applyFill="1" applyAlignment="1">
      <alignment horizontal="center"/>
    </xf>
    <xf numFmtId="49" fontId="8" fillId="8" borderId="1" xfId="0" applyNumberFormat="1" applyFont="1" applyFill="1" applyBorder="1" applyAlignment="1">
      <alignment horizontal="center"/>
    </xf>
    <xf numFmtId="1" fontId="8" fillId="8" borderId="0" xfId="0" applyNumberFormat="1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49" fontId="8" fillId="8" borderId="0" xfId="0" applyNumberFormat="1" applyFont="1" applyFill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67" fontId="4" fillId="8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66" fontId="8" fillId="6" borderId="3" xfId="0" applyNumberFormat="1" applyFont="1" applyFill="1" applyBorder="1" applyAlignment="1" applyProtection="1">
      <alignment horizontal="center"/>
      <protection locked="0"/>
    </xf>
    <xf numFmtId="166" fontId="8" fillId="7" borderId="4" xfId="0" applyNumberFormat="1" applyFont="1" applyFill="1" applyBorder="1" applyAlignment="1" applyProtection="1">
      <alignment horizontal="center"/>
      <protection locked="0"/>
    </xf>
    <xf numFmtId="166" fontId="8" fillId="6" borderId="4" xfId="0" applyNumberFormat="1" applyFont="1" applyFill="1" applyBorder="1" applyAlignment="1" applyProtection="1">
      <alignment horizontal="center"/>
      <protection locked="0"/>
    </xf>
    <xf numFmtId="1" fontId="4" fillId="8" borderId="5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169" fontId="8" fillId="6" borderId="0" xfId="0" applyNumberFormat="1" applyFont="1" applyFill="1" applyAlignment="1" applyProtection="1">
      <alignment horizontal="center"/>
      <protection locked="0"/>
    </xf>
    <xf numFmtId="49" fontId="4" fillId="8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49" fontId="7" fillId="12" borderId="1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166" fontId="8" fillId="8" borderId="0" xfId="0" applyNumberFormat="1" applyFont="1" applyFill="1" applyAlignment="1">
      <alignment horizontal="center"/>
    </xf>
    <xf numFmtId="166" fontId="8" fillId="8" borderId="1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167" fontId="8" fillId="8" borderId="0" xfId="0" applyNumberFormat="1" applyFont="1" applyFill="1" applyAlignment="1">
      <alignment horizontal="center"/>
    </xf>
    <xf numFmtId="171" fontId="8" fillId="14" borderId="0" xfId="0" applyNumberFormat="1" applyFont="1" applyFill="1" applyAlignment="1">
      <alignment horizontal="center"/>
    </xf>
    <xf numFmtId="167" fontId="8" fillId="8" borderId="1" xfId="0" applyNumberFormat="1" applyFont="1" applyFill="1" applyBorder="1" applyAlignment="1">
      <alignment horizontal="center"/>
    </xf>
    <xf numFmtId="166" fontId="8" fillId="8" borderId="7" xfId="0" applyNumberFormat="1" applyFont="1" applyFill="1" applyBorder="1" applyAlignment="1">
      <alignment horizontal="center"/>
    </xf>
    <xf numFmtId="167" fontId="12" fillId="8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4" fillId="4" borderId="1" xfId="0" applyFont="1" applyFill="1" applyBorder="1" applyAlignment="1" applyProtection="1">
      <alignment horizontal="center"/>
      <protection locked="0"/>
    </xf>
    <xf numFmtId="0" fontId="13" fillId="16" borderId="0" xfId="0" applyFont="1" applyFill="1" applyAlignment="1">
      <alignment horizontal="center"/>
    </xf>
    <xf numFmtId="168" fontId="14" fillId="16" borderId="0" xfId="0" applyNumberFormat="1" applyFont="1" applyFill="1" applyAlignment="1">
      <alignment horizontal="center"/>
    </xf>
    <xf numFmtId="167" fontId="8" fillId="16" borderId="0" xfId="0" applyNumberFormat="1" applyFont="1" applyFill="1" applyAlignment="1">
      <alignment horizontal="center"/>
    </xf>
    <xf numFmtId="169" fontId="8" fillId="6" borderId="0" xfId="0" applyNumberFormat="1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168" fontId="13" fillId="19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168" fontId="14" fillId="9" borderId="0" xfId="0" applyNumberFormat="1" applyFont="1" applyFill="1" applyAlignment="1">
      <alignment horizontal="center"/>
    </xf>
    <xf numFmtId="0" fontId="27" fillId="8" borderId="0" xfId="0" applyFont="1" applyFill="1" applyAlignment="1">
      <alignment horizontal="center"/>
    </xf>
    <xf numFmtId="169" fontId="27" fillId="8" borderId="0" xfId="0" applyNumberFormat="1" applyFont="1" applyFill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0" fontId="7" fillId="22" borderId="7" xfId="0" applyFont="1" applyFill="1" applyBorder="1" applyAlignment="1">
      <alignment horizontal="center" vertical="center"/>
    </xf>
    <xf numFmtId="49" fontId="1" fillId="6" borderId="0" xfId="0" applyNumberFormat="1" applyFont="1" applyFill="1" applyAlignment="1" applyProtection="1">
      <alignment horizontal="center" vertical="center"/>
      <protection locked="0"/>
    </xf>
    <xf numFmtId="169" fontId="8" fillId="7" borderId="0" xfId="0" applyNumberFormat="1" applyFont="1" applyFill="1" applyAlignment="1" applyProtection="1">
      <alignment horizontal="center"/>
      <protection locked="0"/>
    </xf>
    <xf numFmtId="0" fontId="8" fillId="9" borderId="0" xfId="0" applyFont="1" applyFill="1" applyAlignment="1">
      <alignment horizontal="center"/>
    </xf>
    <xf numFmtId="169" fontId="8" fillId="7" borderId="0" xfId="0" applyNumberFormat="1" applyFont="1" applyFill="1" applyAlignment="1">
      <alignment horizontal="center"/>
    </xf>
    <xf numFmtId="49" fontId="8" fillId="6" borderId="16" xfId="0" applyNumberFormat="1" applyFont="1" applyFill="1" applyBorder="1" applyAlignment="1" applyProtection="1">
      <alignment horizontal="center"/>
      <protection locked="0"/>
    </xf>
    <xf numFmtId="49" fontId="8" fillId="7" borderId="17" xfId="0" applyNumberFormat="1" applyFont="1" applyFill="1" applyBorder="1" applyAlignment="1" applyProtection="1">
      <alignment horizontal="center"/>
      <protection locked="0"/>
    </xf>
    <xf numFmtId="49" fontId="8" fillId="6" borderId="17" xfId="0" applyNumberFormat="1" applyFont="1" applyFill="1" applyBorder="1" applyAlignment="1" applyProtection="1">
      <alignment horizontal="center"/>
      <protection locked="0"/>
    </xf>
    <xf numFmtId="0" fontId="8" fillId="6" borderId="17" xfId="0" applyFont="1" applyFill="1" applyBorder="1" applyAlignment="1" applyProtection="1">
      <alignment horizontal="center"/>
      <protection locked="0"/>
    </xf>
    <xf numFmtId="0" fontId="8" fillId="6" borderId="18" xfId="0" applyFont="1" applyFill="1" applyBorder="1" applyAlignment="1" applyProtection="1">
      <alignment horizontal="center"/>
      <protection locked="0"/>
    </xf>
    <xf numFmtId="169" fontId="8" fillId="6" borderId="7" xfId="0" applyNumberFormat="1" applyFont="1" applyFill="1" applyBorder="1" applyAlignment="1" applyProtection="1">
      <alignment horizontal="center"/>
      <protection locked="0"/>
    </xf>
    <xf numFmtId="169" fontId="8" fillId="6" borderId="1" xfId="0" applyNumberFormat="1" applyFont="1" applyFill="1" applyBorder="1" applyAlignment="1" applyProtection="1">
      <alignment horizontal="center"/>
      <protection locked="0"/>
    </xf>
    <xf numFmtId="166" fontId="8" fillId="6" borderId="6" xfId="0" applyNumberFormat="1" applyFont="1" applyFill="1" applyBorder="1" applyAlignment="1" applyProtection="1">
      <alignment horizontal="center"/>
      <protection locked="0"/>
    </xf>
    <xf numFmtId="0" fontId="8" fillId="6" borderId="7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173" fontId="8" fillId="6" borderId="20" xfId="0" applyNumberFormat="1" applyFont="1" applyFill="1" applyBorder="1" applyAlignment="1" applyProtection="1">
      <alignment horizontal="center"/>
      <protection locked="0"/>
    </xf>
    <xf numFmtId="173" fontId="8" fillId="7" borderId="21" xfId="0" applyNumberFormat="1" applyFont="1" applyFill="1" applyBorder="1" applyAlignment="1" applyProtection="1">
      <alignment horizontal="center"/>
      <protection locked="0"/>
    </xf>
    <xf numFmtId="173" fontId="8" fillId="6" borderId="21" xfId="0" applyNumberFormat="1" applyFont="1" applyFill="1" applyBorder="1" applyAlignment="1" applyProtection="1">
      <alignment horizontal="center"/>
      <protection locked="0"/>
    </xf>
    <xf numFmtId="173" fontId="8" fillId="6" borderId="22" xfId="0" applyNumberFormat="1" applyFont="1" applyFill="1" applyBorder="1" applyAlignment="1" applyProtection="1">
      <alignment horizontal="center"/>
      <protection locked="0"/>
    </xf>
    <xf numFmtId="169" fontId="8" fillId="6" borderId="7" xfId="0" applyNumberFormat="1" applyFont="1" applyFill="1" applyBorder="1" applyAlignment="1">
      <alignment horizontal="center"/>
    </xf>
    <xf numFmtId="169" fontId="8" fillId="6" borderId="1" xfId="0" applyNumberFormat="1" applyFont="1" applyFill="1" applyBorder="1" applyAlignment="1">
      <alignment horizontal="center"/>
    </xf>
    <xf numFmtId="0" fontId="8" fillId="6" borderId="0" xfId="0" applyFont="1" applyFill="1" applyAlignment="1">
      <alignment horizontal="center" vertical="center"/>
    </xf>
    <xf numFmtId="168" fontId="8" fillId="6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8" fontId="8" fillId="7" borderId="0" xfId="0" applyNumberFormat="1" applyFont="1" applyFill="1" applyAlignment="1">
      <alignment horizontal="center" vertical="center"/>
    </xf>
    <xf numFmtId="49" fontId="8" fillId="7" borderId="0" xfId="0" applyNumberFormat="1" applyFont="1" applyFill="1" applyAlignment="1" applyProtection="1">
      <alignment horizontal="center" vertical="center"/>
      <protection locked="0"/>
    </xf>
    <xf numFmtId="49" fontId="8" fillId="6" borderId="0" xfId="0" applyNumberFormat="1" applyFont="1" applyFill="1" applyAlignment="1" applyProtection="1">
      <alignment horizontal="center" vertical="center"/>
      <protection locked="0"/>
    </xf>
    <xf numFmtId="49" fontId="8" fillId="15" borderId="0" xfId="0" applyNumberFormat="1" applyFont="1" applyFill="1" applyAlignment="1" applyProtection="1">
      <alignment horizontal="center" vertical="center"/>
      <protection locked="0"/>
    </xf>
    <xf numFmtId="1" fontId="8" fillId="8" borderId="5" xfId="0" applyNumberFormat="1" applyFont="1" applyFill="1" applyBorder="1" applyAlignment="1">
      <alignment horizontal="center"/>
    </xf>
    <xf numFmtId="49" fontId="8" fillId="8" borderId="23" xfId="0" applyNumberFormat="1" applyFont="1" applyFill="1" applyBorder="1" applyAlignment="1">
      <alignment horizontal="center"/>
    </xf>
    <xf numFmtId="49" fontId="8" fillId="8" borderId="2" xfId="0" applyNumberFormat="1" applyFont="1" applyFill="1" applyBorder="1" applyAlignment="1">
      <alignment horizontal="center"/>
    </xf>
    <xf numFmtId="170" fontId="4" fillId="29" borderId="19" xfId="0" applyNumberFormat="1" applyFont="1" applyFill="1" applyBorder="1" applyProtection="1">
      <protection locked="0"/>
    </xf>
    <xf numFmtId="169" fontId="4" fillId="30" borderId="19" xfId="3" applyNumberFormat="1" applyFont="1" applyFill="1" applyBorder="1" applyAlignment="1">
      <alignment horizontal="center"/>
    </xf>
    <xf numFmtId="0" fontId="30" fillId="34" borderId="6" xfId="0" applyFont="1" applyFill="1" applyBorder="1" applyAlignment="1">
      <alignment horizontal="center"/>
    </xf>
    <xf numFmtId="0" fontId="30" fillId="34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7" fillId="35" borderId="6" xfId="0" applyFont="1" applyFill="1" applyBorder="1" applyAlignment="1">
      <alignment horizontal="center"/>
    </xf>
    <xf numFmtId="0" fontId="7" fillId="35" borderId="1" xfId="0" applyFont="1" applyFill="1" applyBorder="1" applyAlignment="1">
      <alignment horizontal="center"/>
    </xf>
    <xf numFmtId="0" fontId="27" fillId="36" borderId="6" xfId="0" applyFont="1" applyFill="1" applyBorder="1" applyAlignment="1">
      <alignment horizontal="center"/>
    </xf>
    <xf numFmtId="0" fontId="27" fillId="36" borderId="1" xfId="0" applyFont="1" applyFill="1" applyBorder="1" applyAlignment="1">
      <alignment horizontal="center"/>
    </xf>
    <xf numFmtId="0" fontId="31" fillId="37" borderId="6" xfId="0" applyFont="1" applyFill="1" applyBorder="1" applyAlignment="1">
      <alignment horizontal="center"/>
    </xf>
    <xf numFmtId="0" fontId="31" fillId="37" borderId="1" xfId="0" applyFont="1" applyFill="1" applyBorder="1" applyAlignment="1">
      <alignment horizontal="center"/>
    </xf>
    <xf numFmtId="0" fontId="27" fillId="18" borderId="6" xfId="0" applyFont="1" applyFill="1" applyBorder="1" applyAlignment="1">
      <alignment horizontal="center"/>
    </xf>
    <xf numFmtId="0" fontId="27" fillId="18" borderId="1" xfId="0" applyFont="1" applyFill="1" applyBorder="1" applyAlignment="1">
      <alignment horizontal="center"/>
    </xf>
    <xf numFmtId="0" fontId="30" fillId="13" borderId="6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2" fillId="38" borderId="6" xfId="0" applyFont="1" applyFill="1" applyBorder="1" applyAlignment="1">
      <alignment horizontal="center"/>
    </xf>
    <xf numFmtId="0" fontId="32" fillId="38" borderId="1" xfId="0" applyFont="1" applyFill="1" applyBorder="1" applyAlignment="1">
      <alignment horizontal="center" shrinkToFit="1"/>
    </xf>
    <xf numFmtId="0" fontId="34" fillId="38" borderId="6" xfId="0" applyFont="1" applyFill="1" applyBorder="1" applyAlignment="1">
      <alignment horizontal="center"/>
    </xf>
    <xf numFmtId="0" fontId="34" fillId="38" borderId="1" xfId="0" applyFont="1" applyFill="1" applyBorder="1" applyAlignment="1">
      <alignment horizontal="center" shrinkToFit="1"/>
    </xf>
    <xf numFmtId="0" fontId="33" fillId="39" borderId="1" xfId="0" applyFont="1" applyFill="1" applyBorder="1" applyAlignment="1">
      <alignment horizontal="center"/>
    </xf>
    <xf numFmtId="0" fontId="33" fillId="39" borderId="6" xfId="0" applyFont="1" applyFill="1" applyBorder="1" applyAlignment="1">
      <alignment horizontal="center"/>
    </xf>
    <xf numFmtId="0" fontId="30" fillId="40" borderId="6" xfId="0" applyFont="1" applyFill="1" applyBorder="1" applyAlignment="1">
      <alignment horizontal="center"/>
    </xf>
    <xf numFmtId="0" fontId="30" fillId="40" borderId="1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27" fillId="41" borderId="6" xfId="0" applyFont="1" applyFill="1" applyBorder="1" applyAlignment="1">
      <alignment horizontal="center"/>
    </xf>
    <xf numFmtId="0" fontId="27" fillId="41" borderId="1" xfId="0" applyFont="1" applyFill="1" applyBorder="1" applyAlignment="1">
      <alignment horizontal="center"/>
    </xf>
    <xf numFmtId="169" fontId="8" fillId="42" borderId="0" xfId="0" applyNumberFormat="1" applyFont="1" applyFill="1" applyAlignment="1" applyProtection="1">
      <alignment horizontal="center"/>
      <protection locked="0"/>
    </xf>
    <xf numFmtId="169" fontId="8" fillId="43" borderId="7" xfId="0" applyNumberFormat="1" applyFont="1" applyFill="1" applyBorder="1" applyAlignment="1" applyProtection="1">
      <alignment horizontal="center"/>
      <protection locked="0"/>
    </xf>
    <xf numFmtId="169" fontId="8" fillId="43" borderId="1" xfId="0" applyNumberFormat="1" applyFont="1" applyFill="1" applyBorder="1" applyAlignment="1" applyProtection="1">
      <alignment horizontal="center"/>
      <protection locked="0"/>
    </xf>
    <xf numFmtId="169" fontId="8" fillId="43" borderId="0" xfId="0" applyNumberFormat="1" applyFont="1" applyFill="1" applyAlignment="1" applyProtection="1">
      <alignment horizontal="center"/>
      <protection locked="0"/>
    </xf>
    <xf numFmtId="0" fontId="33" fillId="44" borderId="6" xfId="0" applyFont="1" applyFill="1" applyBorder="1" applyAlignment="1">
      <alignment horizontal="center"/>
    </xf>
    <xf numFmtId="0" fontId="33" fillId="44" borderId="1" xfId="0" applyFont="1" applyFill="1" applyBorder="1" applyAlignment="1">
      <alignment horizontal="center" shrinkToFit="1"/>
    </xf>
    <xf numFmtId="0" fontId="4" fillId="13" borderId="5" xfId="0" applyFont="1" applyFill="1" applyBorder="1" applyAlignment="1">
      <alignment horizontal="center"/>
    </xf>
    <xf numFmtId="0" fontId="21" fillId="45" borderId="0" xfId="0" applyFont="1" applyFill="1" applyAlignment="1">
      <alignment horizontal="center"/>
    </xf>
    <xf numFmtId="0" fontId="21" fillId="45" borderId="1" xfId="0" applyFont="1" applyFill="1" applyBorder="1" applyAlignment="1">
      <alignment horizontal="center"/>
    </xf>
    <xf numFmtId="173" fontId="8" fillId="45" borderId="0" xfId="0" applyNumberFormat="1" applyFont="1" applyFill="1" applyAlignment="1">
      <alignment horizontal="center"/>
    </xf>
    <xf numFmtId="0" fontId="4" fillId="46" borderId="0" xfId="0" applyFont="1" applyFill="1" applyAlignment="1">
      <alignment horizontal="center"/>
    </xf>
    <xf numFmtId="0" fontId="4" fillId="46" borderId="1" xfId="0" applyFont="1" applyFill="1" applyBorder="1" applyAlignment="1">
      <alignment horizontal="center"/>
    </xf>
    <xf numFmtId="49" fontId="8" fillId="46" borderId="0" xfId="0" applyNumberFormat="1" applyFont="1" applyFill="1" applyAlignment="1">
      <alignment horizontal="center"/>
    </xf>
    <xf numFmtId="0" fontId="9" fillId="9" borderId="0" xfId="0" applyFont="1" applyFill="1" applyAlignment="1">
      <alignment horizontal="center"/>
    </xf>
    <xf numFmtId="169" fontId="8" fillId="46" borderId="0" xfId="0" applyNumberFormat="1" applyFont="1" applyFill="1" applyAlignment="1">
      <alignment horizontal="center"/>
    </xf>
    <xf numFmtId="0" fontId="4" fillId="32" borderId="14" xfId="0" applyFont="1" applyFill="1" applyBorder="1"/>
    <xf numFmtId="0" fontId="4" fillId="32" borderId="5" xfId="0" applyFont="1" applyFill="1" applyBorder="1"/>
    <xf numFmtId="0" fontId="4" fillId="32" borderId="15" xfId="0" applyFont="1" applyFill="1" applyBorder="1"/>
    <xf numFmtId="170" fontId="4" fillId="29" borderId="25" xfId="0" applyNumberFormat="1" applyFont="1" applyFill="1" applyBorder="1" applyProtection="1">
      <protection locked="0"/>
    </xf>
    <xf numFmtId="49" fontId="4" fillId="8" borderId="7" xfId="0" applyNumberFormat="1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49" fontId="8" fillId="8" borderId="7" xfId="0" applyNumberFormat="1" applyFont="1" applyFill="1" applyBorder="1" applyAlignment="1">
      <alignment horizontal="center"/>
    </xf>
    <xf numFmtId="169" fontId="8" fillId="6" borderId="9" xfId="0" applyNumberFormat="1" applyFont="1" applyFill="1" applyBorder="1" applyAlignment="1" applyProtection="1">
      <alignment horizontal="center"/>
      <protection locked="0"/>
    </xf>
    <xf numFmtId="169" fontId="8" fillId="7" borderId="11" xfId="0" applyNumberFormat="1" applyFont="1" applyFill="1" applyBorder="1" applyAlignment="1" applyProtection="1">
      <alignment horizontal="center"/>
      <protection locked="0"/>
    </xf>
    <xf numFmtId="169" fontId="8" fillId="6" borderId="11" xfId="0" applyNumberFormat="1" applyFont="1" applyFill="1" applyBorder="1" applyAlignment="1" applyProtection="1">
      <alignment horizontal="center"/>
      <protection locked="0"/>
    </xf>
    <xf numFmtId="169" fontId="8" fillId="6" borderId="13" xfId="0" applyNumberFormat="1" applyFont="1" applyFill="1" applyBorder="1" applyAlignment="1" applyProtection="1">
      <alignment horizontal="center"/>
      <protection locked="0"/>
    </xf>
    <xf numFmtId="0" fontId="7" fillId="22" borderId="9" xfId="0" applyFont="1" applyFill="1" applyBorder="1" applyAlignment="1">
      <alignment horizontal="center" vertical="center"/>
    </xf>
    <xf numFmtId="169" fontId="8" fillId="6" borderId="9" xfId="0" applyNumberFormat="1" applyFont="1" applyFill="1" applyBorder="1" applyAlignment="1">
      <alignment horizontal="center"/>
    </xf>
    <xf numFmtId="169" fontId="8" fillId="7" borderId="11" xfId="0" applyNumberFormat="1" applyFont="1" applyFill="1" applyBorder="1" applyAlignment="1">
      <alignment horizontal="center"/>
    </xf>
    <xf numFmtId="169" fontId="8" fillId="6" borderId="11" xfId="0" applyNumberFormat="1" applyFont="1" applyFill="1" applyBorder="1" applyAlignment="1">
      <alignment horizontal="center"/>
    </xf>
    <xf numFmtId="169" fontId="8" fillId="6" borderId="13" xfId="0" applyNumberFormat="1" applyFont="1" applyFill="1" applyBorder="1" applyAlignment="1">
      <alignment horizontal="center"/>
    </xf>
    <xf numFmtId="49" fontId="28" fillId="7" borderId="0" xfId="0" applyNumberFormat="1" applyFont="1" applyFill="1" applyAlignment="1" applyProtection="1">
      <alignment horizontal="center" vertical="center"/>
      <protection locked="0"/>
    </xf>
    <xf numFmtId="1" fontId="30" fillId="8" borderId="0" xfId="0" applyNumberFormat="1" applyFont="1" applyFill="1" applyAlignment="1">
      <alignment horizontal="center"/>
    </xf>
    <xf numFmtId="49" fontId="30" fillId="8" borderId="0" xfId="0" applyNumberFormat="1" applyFont="1" applyFill="1" applyAlignment="1">
      <alignment horizontal="center"/>
    </xf>
    <xf numFmtId="1" fontId="30" fillId="25" borderId="0" xfId="2" applyNumberFormat="1" applyFont="1" applyFill="1" applyAlignment="1">
      <alignment horizontal="center" vertical="center"/>
    </xf>
    <xf numFmtId="169" fontId="30" fillId="33" borderId="19" xfId="3" applyNumberFormat="1" applyFont="1" applyFill="1" applyBorder="1" applyAlignment="1">
      <alignment horizontal="center"/>
    </xf>
    <xf numFmtId="0" fontId="8" fillId="19" borderId="0" xfId="0" applyFont="1" applyFill="1" applyAlignment="1">
      <alignment horizontal="center"/>
    </xf>
    <xf numFmtId="0" fontId="4" fillId="8" borderId="5" xfId="0" applyFont="1" applyFill="1" applyBorder="1" applyAlignment="1">
      <alignment horizontal="center" vertical="center"/>
    </xf>
    <xf numFmtId="0" fontId="27" fillId="49" borderId="1" xfId="0" applyFont="1" applyFill="1" applyBorder="1" applyAlignment="1">
      <alignment horizontal="center"/>
    </xf>
    <xf numFmtId="0" fontId="27" fillId="49" borderId="6" xfId="0" applyFont="1" applyFill="1" applyBorder="1" applyAlignment="1">
      <alignment horizontal="center"/>
    </xf>
    <xf numFmtId="0" fontId="27" fillId="51" borderId="6" xfId="0" applyFont="1" applyFill="1" applyBorder="1" applyAlignment="1">
      <alignment horizontal="center"/>
    </xf>
    <xf numFmtId="0" fontId="27" fillId="51" borderId="1" xfId="0" applyFont="1" applyFill="1" applyBorder="1" applyAlignment="1">
      <alignment horizontal="center" shrinkToFit="1"/>
    </xf>
    <xf numFmtId="0" fontId="36" fillId="50" borderId="1" xfId="0" applyFont="1" applyFill="1" applyBorder="1" applyAlignment="1">
      <alignment horizontal="center"/>
    </xf>
    <xf numFmtId="0" fontId="36" fillId="50" borderId="6" xfId="0" applyFont="1" applyFill="1" applyBorder="1" applyAlignment="1">
      <alignment horizontal="center"/>
    </xf>
    <xf numFmtId="0" fontId="36" fillId="52" borderId="1" xfId="0" applyFont="1" applyFill="1" applyBorder="1" applyAlignment="1">
      <alignment horizontal="center"/>
    </xf>
    <xf numFmtId="0" fontId="36" fillId="52" borderId="6" xfId="0" applyFont="1" applyFill="1" applyBorder="1" applyAlignment="1">
      <alignment horizontal="center"/>
    </xf>
    <xf numFmtId="0" fontId="33" fillId="53" borderId="6" xfId="0" applyFont="1" applyFill="1" applyBorder="1" applyAlignment="1">
      <alignment horizontal="center"/>
    </xf>
    <xf numFmtId="0" fontId="33" fillId="53" borderId="1" xfId="0" applyFont="1" applyFill="1" applyBorder="1" applyAlignment="1">
      <alignment horizontal="center" shrinkToFit="1"/>
    </xf>
    <xf numFmtId="0" fontId="36" fillId="54" borderId="6" xfId="0" applyFont="1" applyFill="1" applyBorder="1" applyAlignment="1">
      <alignment horizontal="center"/>
    </xf>
    <xf numFmtId="0" fontId="36" fillId="54" borderId="1" xfId="0" applyFont="1" applyFill="1" applyBorder="1" applyAlignment="1">
      <alignment horizontal="center"/>
    </xf>
    <xf numFmtId="171" fontId="8" fillId="7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7" fontId="24" fillId="7" borderId="1" xfId="0" applyNumberFormat="1" applyFont="1" applyFill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71" fontId="8" fillId="7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7" fontId="24" fillId="7" borderId="0" xfId="0" applyNumberFormat="1" applyFont="1" applyFill="1" applyAlignment="1">
      <alignment horizontal="center"/>
    </xf>
    <xf numFmtId="171" fontId="8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71" fontId="8" fillId="7" borderId="0" xfId="0" applyNumberFormat="1" applyFont="1" applyFill="1" applyAlignment="1">
      <alignment horizontal="center"/>
    </xf>
    <xf numFmtId="171" fontId="8" fillId="6" borderId="0" xfId="0" applyNumberFormat="1" applyFont="1" applyFill="1" applyAlignment="1" applyProtection="1">
      <alignment horizontal="center"/>
      <protection locked="0"/>
    </xf>
    <xf numFmtId="172" fontId="8" fillId="19" borderId="0" xfId="0" applyNumberFormat="1" applyFont="1" applyFill="1" applyAlignment="1" applyProtection="1">
      <alignment horizontal="center"/>
      <protection locked="0"/>
    </xf>
    <xf numFmtId="0" fontId="0" fillId="15" borderId="0" xfId="0" applyFill="1" applyAlignment="1" applyProtection="1">
      <alignment horizontal="center"/>
      <protection locked="0"/>
    </xf>
    <xf numFmtId="0" fontId="32" fillId="38" borderId="5" xfId="0" applyFont="1" applyFill="1" applyBorder="1" applyAlignment="1">
      <alignment horizontal="center" vertical="center" shrinkToFit="1"/>
    </xf>
    <xf numFmtId="0" fontId="33" fillId="44" borderId="5" xfId="0" applyFont="1" applyFill="1" applyBorder="1" applyAlignment="1">
      <alignment horizontal="center" vertical="center" shrinkToFit="1"/>
    </xf>
    <xf numFmtId="0" fontId="27" fillId="51" borderId="5" xfId="0" applyFont="1" applyFill="1" applyBorder="1" applyAlignment="1">
      <alignment horizontal="center" vertical="center" shrinkToFit="1"/>
    </xf>
    <xf numFmtId="0" fontId="33" fillId="39" borderId="5" xfId="0" applyFont="1" applyFill="1" applyBorder="1" applyAlignment="1">
      <alignment horizontal="center" vertical="center"/>
    </xf>
    <xf numFmtId="169" fontId="30" fillId="9" borderId="0" xfId="0" applyNumberFormat="1" applyFont="1" applyFill="1" applyAlignment="1">
      <alignment horizontal="center"/>
    </xf>
    <xf numFmtId="0" fontId="35" fillId="20" borderId="0" xfId="0" applyFont="1" applyFill="1" applyAlignment="1">
      <alignment horizontal="center"/>
    </xf>
    <xf numFmtId="172" fontId="8" fillId="9" borderId="0" xfId="0" applyNumberFormat="1" applyFont="1" applyFill="1" applyAlignment="1" applyProtection="1">
      <alignment horizontal="center"/>
      <protection locked="0"/>
    </xf>
    <xf numFmtId="0" fontId="0" fillId="20" borderId="0" xfId="0" applyFill="1" applyAlignment="1" applyProtection="1">
      <alignment horizontal="center"/>
      <protection locked="0"/>
    </xf>
    <xf numFmtId="169" fontId="30" fillId="19" borderId="0" xfId="0" applyNumberFormat="1" applyFont="1" applyFill="1" applyAlignment="1">
      <alignment horizontal="center"/>
    </xf>
    <xf numFmtId="0" fontId="35" fillId="15" borderId="0" xfId="0" applyFont="1" applyFill="1" applyAlignment="1">
      <alignment horizontal="center"/>
    </xf>
    <xf numFmtId="171" fontId="8" fillId="19" borderId="1" xfId="0" applyNumberFormat="1" applyFont="1" applyFill="1" applyBorder="1" applyAlignment="1" applyProtection="1">
      <alignment horizontal="center"/>
      <protection locked="0"/>
    </xf>
    <xf numFmtId="0" fontId="0" fillId="15" borderId="1" xfId="0" applyFill="1" applyBorder="1" applyAlignment="1" applyProtection="1">
      <alignment horizontal="center"/>
      <protection locked="0"/>
    </xf>
    <xf numFmtId="0" fontId="4" fillId="47" borderId="5" xfId="0" applyFont="1" applyFill="1" applyBorder="1" applyAlignment="1">
      <alignment horizontal="center"/>
    </xf>
    <xf numFmtId="0" fontId="4" fillId="48" borderId="5" xfId="0" applyFont="1" applyFill="1" applyBorder="1" applyAlignment="1">
      <alignment horizontal="center"/>
    </xf>
    <xf numFmtId="169" fontId="8" fillId="9" borderId="0" xfId="0" applyNumberFormat="1" applyFont="1" applyFill="1" applyAlignment="1" applyProtection="1">
      <alignment horizontal="center"/>
      <protection locked="0"/>
    </xf>
    <xf numFmtId="169" fontId="8" fillId="26" borderId="7" xfId="0" applyNumberFormat="1" applyFont="1" applyFill="1" applyBorder="1" applyAlignment="1" applyProtection="1">
      <alignment horizontal="center"/>
      <protection locked="0"/>
    </xf>
    <xf numFmtId="0" fontId="0" fillId="27" borderId="7" xfId="0" applyFill="1" applyBorder="1" applyAlignment="1" applyProtection="1">
      <alignment horizontal="center"/>
      <protection locked="0"/>
    </xf>
    <xf numFmtId="170" fontId="8" fillId="29" borderId="5" xfId="0" applyNumberFormat="1" applyFont="1" applyFill="1" applyBorder="1" applyAlignment="1" applyProtection="1">
      <alignment horizontal="center"/>
      <protection locked="0"/>
    </xf>
    <xf numFmtId="0" fontId="0" fillId="30" borderId="5" xfId="0" applyFill="1" applyBorder="1" applyAlignment="1" applyProtection="1">
      <alignment horizontal="center"/>
      <protection locked="0"/>
    </xf>
    <xf numFmtId="49" fontId="8" fillId="28" borderId="5" xfId="0" applyNumberFormat="1" applyFont="1" applyFill="1" applyBorder="1" applyAlignment="1" applyProtection="1">
      <alignment horizontal="center"/>
      <protection locked="0"/>
    </xf>
    <xf numFmtId="0" fontId="0" fillId="31" borderId="5" xfId="0" applyFill="1" applyBorder="1" applyAlignment="1" applyProtection="1">
      <alignment horizontal="center"/>
      <protection locked="0"/>
    </xf>
    <xf numFmtId="0" fontId="6" fillId="8" borderId="0" xfId="0" applyFont="1" applyFill="1" applyAlignment="1">
      <alignment horizontal="center"/>
    </xf>
    <xf numFmtId="166" fontId="8" fillId="6" borderId="0" xfId="0" applyNumberFormat="1" applyFont="1" applyFill="1" applyAlignment="1" applyProtection="1">
      <alignment horizontal="center"/>
      <protection locked="0"/>
    </xf>
    <xf numFmtId="166" fontId="30" fillId="7" borderId="0" xfId="0" applyNumberFormat="1" applyFont="1" applyFill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/>
      <protection locked="0"/>
    </xf>
    <xf numFmtId="167" fontId="24" fillId="6" borderId="0" xfId="0" applyNumberFormat="1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8" fillId="1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8" fillId="19" borderId="26" xfId="0" applyFont="1" applyFill="1" applyBorder="1" applyAlignment="1">
      <alignment horizontal="center"/>
    </xf>
    <xf numFmtId="0" fontId="8" fillId="19" borderId="28" xfId="0" applyFont="1" applyFill="1" applyBorder="1" applyAlignment="1">
      <alignment horizontal="center"/>
    </xf>
    <xf numFmtId="0" fontId="8" fillId="19" borderId="27" xfId="0" applyFont="1" applyFill="1" applyBorder="1" applyAlignment="1">
      <alignment horizontal="center"/>
    </xf>
    <xf numFmtId="172" fontId="8" fillId="19" borderId="7" xfId="0" applyNumberFormat="1" applyFont="1" applyFill="1" applyBorder="1" applyAlignment="1" applyProtection="1">
      <alignment horizontal="center"/>
      <protection locked="0"/>
    </xf>
    <xf numFmtId="0" fontId="0" fillId="15" borderId="7" xfId="0" applyFill="1" applyBorder="1" applyAlignment="1" applyProtection="1">
      <alignment horizontal="center"/>
      <protection locked="0"/>
    </xf>
    <xf numFmtId="0" fontId="34" fillId="38" borderId="5" xfId="0" applyFont="1" applyFill="1" applyBorder="1" applyAlignment="1">
      <alignment horizontal="center" vertical="center" shrinkToFit="1"/>
    </xf>
    <xf numFmtId="0" fontId="4" fillId="25" borderId="7" xfId="0" applyFont="1" applyFill="1" applyBorder="1" applyAlignment="1">
      <alignment horizontal="left"/>
    </xf>
    <xf numFmtId="0" fontId="4" fillId="25" borderId="9" xfId="0" applyFont="1" applyFill="1" applyBorder="1" applyAlignment="1">
      <alignment horizontal="left"/>
    </xf>
    <xf numFmtId="0" fontId="4" fillId="33" borderId="19" xfId="0" applyFont="1" applyFill="1" applyBorder="1" applyAlignment="1">
      <alignment horizontal="left"/>
    </xf>
    <xf numFmtId="0" fontId="4" fillId="33" borderId="25" xfId="0" applyFont="1" applyFill="1" applyBorder="1" applyAlignment="1">
      <alignment horizontal="left"/>
    </xf>
    <xf numFmtId="167" fontId="22" fillId="19" borderId="0" xfId="0" applyNumberFormat="1" applyFont="1" applyFill="1" applyAlignment="1">
      <alignment horizontal="center"/>
    </xf>
    <xf numFmtId="167" fontId="22" fillId="9" borderId="0" xfId="0" applyNumberFormat="1" applyFont="1" applyFill="1" applyAlignment="1">
      <alignment horizontal="center"/>
    </xf>
    <xf numFmtId="0" fontId="23" fillId="0" borderId="8" xfId="4" applyNumberFormat="1" applyFont="1" applyFill="1" applyBorder="1" applyAlignment="1" applyProtection="1">
      <alignment horizontal="center" vertical="center" wrapText="1"/>
    </xf>
    <xf numFmtId="0" fontId="23" fillId="0" borderId="7" xfId="4" applyNumberFormat="1" applyFont="1" applyFill="1" applyBorder="1" applyAlignment="1" applyProtection="1">
      <alignment horizontal="center" vertical="center" wrapText="1"/>
    </xf>
    <xf numFmtId="0" fontId="23" fillId="0" borderId="9" xfId="4" applyNumberFormat="1" applyFont="1" applyFill="1" applyBorder="1" applyAlignment="1" applyProtection="1">
      <alignment horizontal="center" vertical="center" wrapText="1"/>
    </xf>
    <xf numFmtId="0" fontId="23" fillId="0" borderId="10" xfId="4" applyNumberFormat="1" applyFont="1" applyFill="1" applyBorder="1" applyAlignment="1" applyProtection="1">
      <alignment horizontal="center" vertical="center" wrapText="1"/>
    </xf>
    <xf numFmtId="0" fontId="23" fillId="0" borderId="0" xfId="4" applyNumberFormat="1" applyFont="1" applyFill="1" applyBorder="1" applyAlignment="1" applyProtection="1">
      <alignment horizontal="center" vertical="center" wrapText="1"/>
    </xf>
    <xf numFmtId="0" fontId="23" fillId="0" borderId="11" xfId="4" applyNumberFormat="1" applyFont="1" applyFill="1" applyBorder="1" applyAlignment="1" applyProtection="1">
      <alignment horizontal="center" vertical="center" wrapText="1"/>
    </xf>
    <xf numFmtId="0" fontId="23" fillId="0" borderId="12" xfId="4" applyNumberFormat="1" applyFont="1" applyFill="1" applyBorder="1" applyAlignment="1" applyProtection="1">
      <alignment horizontal="center" vertical="center" wrapText="1"/>
    </xf>
    <xf numFmtId="0" fontId="23" fillId="0" borderId="1" xfId="4" applyNumberFormat="1" applyFont="1" applyFill="1" applyBorder="1" applyAlignment="1" applyProtection="1">
      <alignment horizontal="center" vertical="center" wrapText="1"/>
    </xf>
    <xf numFmtId="0" fontId="23" fillId="0" borderId="13" xfId="4" applyNumberFormat="1" applyFont="1" applyFill="1" applyBorder="1" applyAlignment="1" applyProtection="1">
      <alignment horizontal="center" vertical="center" wrapText="1"/>
    </xf>
    <xf numFmtId="0" fontId="16" fillId="4" borderId="7" xfId="0" applyFont="1" applyFill="1" applyBorder="1" applyAlignment="1" applyProtection="1">
      <alignment horizontal="center" vertical="center"/>
      <protection locked="0"/>
    </xf>
    <xf numFmtId="0" fontId="16" fillId="4" borderId="0" xfId="0" applyFont="1" applyFill="1" applyAlignment="1" applyProtection="1">
      <alignment horizontal="center" vertical="center"/>
      <protection locked="0"/>
    </xf>
    <xf numFmtId="0" fontId="4" fillId="17" borderId="5" xfId="0" applyFont="1" applyFill="1" applyBorder="1" applyAlignment="1">
      <alignment horizontal="center"/>
    </xf>
    <xf numFmtId="0" fontId="30" fillId="34" borderId="5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166" fontId="8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0" fontId="27" fillId="18" borderId="5" xfId="0" applyNumberFormat="1" applyFont="1" applyFill="1" applyBorder="1" applyAlignment="1">
      <alignment horizontal="center" vertical="center"/>
    </xf>
    <xf numFmtId="0" fontId="29" fillId="21" borderId="5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 vertical="center"/>
    </xf>
    <xf numFmtId="170" fontId="27" fillId="49" borderId="5" xfId="0" applyNumberFormat="1" applyFont="1" applyFill="1" applyBorder="1" applyAlignment="1">
      <alignment horizontal="center"/>
    </xf>
    <xf numFmtId="0" fontId="29" fillId="49" borderId="5" xfId="0" applyFont="1" applyFill="1" applyBorder="1" applyAlignment="1">
      <alignment horizontal="center"/>
    </xf>
    <xf numFmtId="0" fontId="31" fillId="37" borderId="5" xfId="0" applyFont="1" applyFill="1" applyBorder="1" applyAlignment="1">
      <alignment horizontal="center"/>
    </xf>
    <xf numFmtId="0" fontId="7" fillId="35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27" fillId="41" borderId="5" xfId="0" applyFont="1" applyFill="1" applyBorder="1" applyAlignment="1">
      <alignment horizontal="center"/>
    </xf>
    <xf numFmtId="0" fontId="27" fillId="36" borderId="5" xfId="0" applyFont="1" applyFill="1" applyBorder="1" applyAlignment="1">
      <alignment horizontal="center"/>
    </xf>
    <xf numFmtId="0" fontId="36" fillId="50" borderId="5" xfId="0" applyFont="1" applyFill="1" applyBorder="1" applyAlignment="1">
      <alignment horizontal="center" vertical="center"/>
    </xf>
    <xf numFmtId="0" fontId="4" fillId="28" borderId="5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4" fillId="29" borderId="5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26" borderId="7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22" borderId="9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7" fillId="22" borderId="13" xfId="0" applyFont="1" applyFill="1" applyBorder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4" borderId="8" xfId="0" applyFont="1" applyFill="1" applyBorder="1" applyAlignment="1" applyProtection="1">
      <alignment horizontal="center" vertical="center" wrapText="1"/>
      <protection locked="0"/>
    </xf>
    <xf numFmtId="0" fontId="15" fillId="4" borderId="7" xfId="0" applyFont="1" applyFill="1" applyBorder="1" applyAlignment="1" applyProtection="1">
      <alignment horizontal="center" vertical="center" wrapText="1"/>
      <protection locked="0"/>
    </xf>
    <xf numFmtId="0" fontId="15" fillId="4" borderId="9" xfId="0" applyFont="1" applyFill="1" applyBorder="1" applyAlignment="1" applyProtection="1">
      <alignment horizontal="center" vertical="center" wrapText="1"/>
      <protection locked="0"/>
    </xf>
    <xf numFmtId="0" fontId="15" fillId="4" borderId="10" xfId="0" applyFont="1" applyFill="1" applyBorder="1" applyAlignment="1" applyProtection="1">
      <alignment horizontal="center" vertical="center" wrapText="1"/>
      <protection locked="0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15" fillId="4" borderId="11" xfId="0" applyFont="1" applyFill="1" applyBorder="1" applyAlignment="1" applyProtection="1">
      <alignment horizontal="center" vertical="center" wrapText="1"/>
      <protection locked="0"/>
    </xf>
    <xf numFmtId="0" fontId="15" fillId="4" borderId="12" xfId="0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5" fillId="4" borderId="13" xfId="0" applyFont="1" applyFill="1" applyBorder="1" applyAlignment="1" applyProtection="1">
      <alignment horizontal="center" vertical="center" wrapText="1"/>
      <protection locked="0"/>
    </xf>
    <xf numFmtId="0" fontId="4" fillId="19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20" fillId="23" borderId="5" xfId="0" applyFont="1" applyFill="1" applyBorder="1" applyAlignment="1">
      <alignment horizontal="center"/>
    </xf>
    <xf numFmtId="0" fontId="30" fillId="40" borderId="5" xfId="0" applyFont="1" applyFill="1" applyBorder="1" applyAlignment="1">
      <alignment horizontal="center" vertical="center"/>
    </xf>
    <xf numFmtId="0" fontId="17" fillId="22" borderId="0" xfId="0" applyFont="1" applyFill="1" applyAlignment="1">
      <alignment horizontal="center"/>
    </xf>
    <xf numFmtId="167" fontId="20" fillId="24" borderId="1" xfId="0" applyNumberFormat="1" applyFont="1" applyFill="1" applyBorder="1" applyAlignment="1">
      <alignment horizontal="center"/>
    </xf>
    <xf numFmtId="0" fontId="36" fillId="54" borderId="5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19" borderId="7" xfId="0" applyFont="1" applyFill="1" applyBorder="1" applyAlignment="1">
      <alignment horizontal="center"/>
    </xf>
    <xf numFmtId="0" fontId="33" fillId="53" borderId="5" xfId="0" applyFont="1" applyFill="1" applyBorder="1" applyAlignment="1">
      <alignment horizontal="center" vertical="center" shrinkToFit="1"/>
    </xf>
    <xf numFmtId="0" fontId="36" fillId="52" borderId="5" xfId="0" applyFont="1" applyFill="1" applyBorder="1" applyAlignment="1">
      <alignment horizontal="center"/>
    </xf>
  </cellXfs>
  <cellStyles count="6">
    <cellStyle name="Brown" xfId="1" xr:uid="{00000000-0005-0000-0000-000000000000}"/>
    <cellStyle name="Comma" xfId="2" builtinId="3"/>
    <cellStyle name="Currency" xfId="3" builtinId="4"/>
    <cellStyle name="Green" xfId="4" xr:uid="{00000000-0005-0000-0000-000003000000}"/>
    <cellStyle name="Normal" xfId="0" builtinId="0"/>
    <cellStyle name="Yellow" xfId="5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996633"/>
      <rgbColor rgb="00800080"/>
      <rgbColor rgb="00008080"/>
      <rgbColor rgb="00B3B3B3"/>
      <rgbColor rgb="00808080"/>
      <rgbColor rgb="00282846"/>
      <rgbColor rgb="00C01428"/>
      <rgbColor rgb="00E6E6E6"/>
      <rgbColor rgb="00CCFFFF"/>
      <rgbColor rgb="00282C48"/>
      <rgbColor rgb="00003F2A"/>
      <rgbColor rgb="00FF9639"/>
      <rgbColor rgb="00CCCCFF"/>
      <rgbColor rgb="002F411F"/>
      <rgbColor rgb="00C8C840"/>
      <rgbColor rgb="004C2E33"/>
      <rgbColor rgb="00007755"/>
      <rgbColor rgb="00C53324"/>
      <rgbColor rgb="00FF7711"/>
      <rgbColor rgb="00FEAD2E"/>
      <rgbColor rgb="005F555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33"/>
      <rgbColor rgb="00666666"/>
      <rgbColor rgb="00969696"/>
      <rgbColor rgb="00003366"/>
      <rgbColor rgb="0000AE00"/>
      <rgbColor rgb="00003300"/>
      <rgbColor rgb="00333300"/>
      <rgbColor rgb="00993300"/>
      <rgbColor rgb="00993366"/>
      <rgbColor rgb="00333399"/>
      <rgbColor rgb="00333333"/>
    </indexedColors>
    <mruColors>
      <color rgb="FF00CC00"/>
      <color rgb="FF33CC33"/>
      <color rgb="FFFF0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0"/>
  <sheetViews>
    <sheetView showGridLines="0" tabSelected="1" zoomScale="124" zoomScaleNormal="124" workbookViewId="0">
      <selection activeCell="I11" sqref="I11:J11"/>
    </sheetView>
  </sheetViews>
  <sheetFormatPr baseColWidth="10" defaultColWidth="10.6640625" defaultRowHeight="13" x14ac:dyDescent="0.15"/>
  <cols>
    <col min="1" max="1" width="0.5" style="1" customWidth="1"/>
    <col min="2" max="2" width="10.6640625" style="1" customWidth="1"/>
    <col min="3" max="3" width="0.5" style="1" customWidth="1"/>
    <col min="4" max="5" width="8.6640625" style="1" customWidth="1"/>
    <col min="6" max="6" width="0.5" style="1" customWidth="1"/>
    <col min="7" max="7" width="8.6640625" style="1" customWidth="1"/>
    <col min="8" max="8" width="0.5" style="1" customWidth="1"/>
    <col min="9" max="9" width="2.1640625" style="1" customWidth="1"/>
    <col min="10" max="10" width="6.5" style="1" customWidth="1"/>
    <col min="11" max="11" width="0.5" style="1" customWidth="1"/>
    <col min="12" max="12" width="2.1640625" style="1" customWidth="1"/>
    <col min="13" max="13" width="6.5" style="1" customWidth="1"/>
    <col min="14" max="14" width="0.5" style="1" customWidth="1"/>
    <col min="15" max="15" width="2.1640625" style="1" customWidth="1"/>
    <col min="16" max="16" width="6.5" style="1" customWidth="1"/>
    <col min="17" max="17" width="0.5" style="1" customWidth="1"/>
    <col min="18" max="18" width="2.1640625" style="1" customWidth="1"/>
    <col min="19" max="19" width="6.5" style="1" customWidth="1"/>
    <col min="20" max="20" width="0.5" style="1" customWidth="1"/>
    <col min="21" max="21" width="2.1640625" style="1" customWidth="1"/>
    <col min="22" max="22" width="6.5" style="1" customWidth="1"/>
    <col min="23" max="23" width="0.5" style="1" customWidth="1"/>
    <col min="24" max="24" width="2.1640625" style="1" customWidth="1"/>
    <col min="25" max="25" width="6.5" style="1" customWidth="1"/>
    <col min="26" max="26" width="0.5" style="1" customWidth="1"/>
    <col min="27" max="27" width="2.1640625" style="1" customWidth="1"/>
    <col min="28" max="28" width="6.5" style="1" customWidth="1"/>
    <col min="29" max="29" width="0.5" style="1" customWidth="1"/>
    <col min="30" max="30" width="2.1640625" style="1" customWidth="1"/>
    <col min="31" max="31" width="6.5" style="1" customWidth="1"/>
    <col min="32" max="32" width="0.5" style="1" customWidth="1"/>
    <col min="33" max="33" width="2.1640625" style="1" customWidth="1"/>
    <col min="34" max="34" width="6.5" style="1" customWidth="1"/>
    <col min="35" max="35" width="0.5" style="1" customWidth="1"/>
    <col min="36" max="36" width="2.1640625" style="1" customWidth="1"/>
    <col min="37" max="37" width="6.5" style="1" customWidth="1"/>
    <col min="38" max="38" width="0.5" style="1" customWidth="1"/>
    <col min="39" max="39" width="2.1640625" style="1" customWidth="1"/>
    <col min="40" max="40" width="6.5" style="1" customWidth="1"/>
    <col min="41" max="41" width="0.5" style="1" customWidth="1"/>
    <col min="42" max="42" width="2.1640625" style="1" customWidth="1"/>
    <col min="43" max="43" width="6.5" style="1" customWidth="1"/>
    <col min="44" max="44" width="0.5" style="1" customWidth="1"/>
    <col min="45" max="45" width="2.1640625" style="1" customWidth="1"/>
    <col min="46" max="46" width="6.5" style="1" customWidth="1"/>
    <col min="47" max="47" width="0.5" style="1" customWidth="1"/>
    <col min="48" max="48" width="2.1640625" style="1" customWidth="1"/>
    <col min="49" max="49" width="6.5" style="1" customWidth="1"/>
    <col min="50" max="50" width="0.5" style="1" customWidth="1"/>
    <col min="51" max="51" width="2.1640625" style="1" customWidth="1"/>
    <col min="52" max="52" width="6.5" style="1" customWidth="1"/>
    <col min="53" max="53" width="0.5" style="1" customWidth="1"/>
    <col min="54" max="54" width="2.1640625" style="1" customWidth="1"/>
    <col min="55" max="55" width="6.5" style="1" customWidth="1"/>
    <col min="56" max="56" width="0.5" style="1" customWidth="1"/>
    <col min="57" max="57" width="2.1640625" style="1" customWidth="1"/>
    <col min="58" max="58" width="6.5" style="1" customWidth="1"/>
    <col min="59" max="59" width="0.5" style="1" customWidth="1"/>
    <col min="60" max="60" width="2.1640625" style="1" customWidth="1"/>
    <col min="61" max="61" width="6.5" style="1" customWidth="1"/>
    <col min="62" max="62" width="0.5" style="1" customWidth="1"/>
    <col min="63" max="63" width="2.1640625" style="1" customWidth="1"/>
    <col min="64" max="64" width="6.5" style="1" customWidth="1"/>
    <col min="65" max="65" width="0.5" style="1" customWidth="1"/>
    <col min="66" max="66" width="2.1640625" style="1" customWidth="1"/>
    <col min="67" max="67" width="6.5" style="1" customWidth="1"/>
    <col min="68" max="68" width="0.5" style="1" customWidth="1"/>
    <col min="69" max="69" width="8.6640625" style="1" customWidth="1"/>
    <col min="70" max="70" width="0.83203125" style="1" customWidth="1"/>
    <col min="71" max="71" width="8.6640625" style="1" customWidth="1"/>
    <col min="72" max="72" width="0.5" style="1" customWidth="1"/>
    <col min="73" max="73" width="8.6640625" style="1" customWidth="1"/>
    <col min="74" max="74" width="0.5" style="1" customWidth="1"/>
    <col min="75" max="76" width="7.6640625" style="1" customWidth="1"/>
    <col min="77" max="77" width="0.5" style="1" customWidth="1"/>
    <col min="78" max="78" width="5.6640625" style="1" customWidth="1"/>
    <col min="79" max="79" width="0.5" style="1" customWidth="1"/>
    <col min="80" max="80" width="5.6640625" style="1" customWidth="1"/>
    <col min="81" max="81" width="0.5" style="1" customWidth="1"/>
    <col min="82" max="82" width="6.83203125" style="1" customWidth="1"/>
    <col min="83" max="83" width="0.5" style="1" customWidth="1"/>
    <col min="84" max="84" width="10" style="1" customWidth="1"/>
    <col min="85" max="85" width="0.5" style="1" customWidth="1"/>
    <col min="86" max="86" width="0" style="1" hidden="1" customWidth="1"/>
    <col min="87" max="87" width="10.6640625" style="60"/>
    <col min="88" max="88" width="0.5" style="1" customWidth="1"/>
    <col min="89" max="16384" width="10.6640625" style="2"/>
  </cols>
  <sheetData>
    <row r="1" spans="1:88" ht="2.75" customHeight="1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9"/>
      <c r="BU1" s="9"/>
      <c r="BV1" s="9"/>
      <c r="BW1" s="3"/>
      <c r="BX1" s="3"/>
      <c r="BY1" s="3"/>
      <c r="BZ1" s="3"/>
      <c r="CA1" s="11"/>
      <c r="CB1" s="9"/>
      <c r="CC1" s="9"/>
      <c r="CD1" s="9"/>
      <c r="CE1" s="9"/>
      <c r="CF1" s="9"/>
      <c r="CG1" s="9"/>
      <c r="CI1" s="9"/>
      <c r="CJ1" s="9"/>
    </row>
    <row r="2" spans="1:88" ht="14.5" customHeight="1" thickBot="1" x14ac:dyDescent="0.2">
      <c r="A2" s="3"/>
      <c r="B2" s="9"/>
      <c r="C2" s="9"/>
      <c r="D2" s="264" t="s">
        <v>0</v>
      </c>
      <c r="E2" s="264"/>
      <c r="F2" s="9"/>
      <c r="G2" s="142" t="s">
        <v>105</v>
      </c>
      <c r="H2" s="9"/>
      <c r="I2" s="206"/>
      <c r="J2" s="206"/>
      <c r="K2" s="39"/>
      <c r="L2" s="206"/>
      <c r="M2" s="206"/>
      <c r="N2" s="39"/>
      <c r="O2" s="206"/>
      <c r="P2" s="206"/>
      <c r="Q2" s="39"/>
      <c r="R2" s="206"/>
      <c r="S2" s="206"/>
      <c r="T2" s="39"/>
      <c r="U2" s="206"/>
      <c r="V2" s="206"/>
      <c r="W2" s="39"/>
      <c r="X2" s="206"/>
      <c r="Y2" s="206"/>
      <c r="Z2" s="39"/>
      <c r="AA2" s="206"/>
      <c r="AB2" s="206"/>
      <c r="AC2" s="39"/>
      <c r="AD2" s="206"/>
      <c r="AE2" s="206"/>
      <c r="AF2" s="39"/>
      <c r="AG2" s="206"/>
      <c r="AH2" s="206"/>
      <c r="AI2" s="39"/>
      <c r="AJ2" s="206"/>
      <c r="AK2" s="206"/>
      <c r="AL2" s="39"/>
      <c r="AM2" s="206"/>
      <c r="AN2" s="206"/>
      <c r="AO2" s="39"/>
      <c r="AP2" s="206"/>
      <c r="AQ2" s="206"/>
      <c r="AR2" s="39"/>
      <c r="AS2" s="206"/>
      <c r="AT2" s="206"/>
      <c r="AU2" s="39"/>
      <c r="AV2" s="206"/>
      <c r="AW2" s="206"/>
      <c r="AX2" s="39"/>
      <c r="AY2" s="206"/>
      <c r="AZ2" s="206"/>
      <c r="BA2" s="39"/>
      <c r="BB2" s="206"/>
      <c r="BC2" s="206"/>
      <c r="BD2" s="39"/>
      <c r="BE2" s="206"/>
      <c r="BF2" s="206"/>
      <c r="BG2" s="39"/>
      <c r="BH2" s="206"/>
      <c r="BI2" s="206"/>
      <c r="BJ2" s="39"/>
      <c r="BK2" s="206"/>
      <c r="BL2" s="206"/>
      <c r="BM2" s="39"/>
      <c r="BN2" s="206"/>
      <c r="BO2" s="206"/>
      <c r="BP2" s="39"/>
      <c r="BQ2" s="4" t="s">
        <v>35</v>
      </c>
      <c r="BR2" s="9"/>
      <c r="BS2" s="264" t="s">
        <v>3</v>
      </c>
      <c r="BT2" s="264"/>
      <c r="BU2" s="264"/>
      <c r="BV2" s="9"/>
      <c r="BW2" s="264" t="s">
        <v>4</v>
      </c>
      <c r="BX2" s="264"/>
      <c r="BY2" s="9"/>
      <c r="BZ2" s="286"/>
      <c r="CA2" s="286"/>
      <c r="CB2" s="286"/>
      <c r="CC2" s="9"/>
      <c r="CD2" s="129" t="s">
        <v>46</v>
      </c>
      <c r="CE2" s="9"/>
      <c r="CF2" s="132" t="s">
        <v>2</v>
      </c>
      <c r="CG2" s="9"/>
      <c r="CI2" s="132" t="s">
        <v>100</v>
      </c>
      <c r="CJ2" s="9"/>
    </row>
    <row r="3" spans="1:88" ht="14.5" customHeight="1" thickBot="1" x14ac:dyDescent="0.2">
      <c r="A3" s="3"/>
      <c r="B3" s="38" t="s">
        <v>5</v>
      </c>
      <c r="C3" s="16"/>
      <c r="D3" s="13" t="s">
        <v>6</v>
      </c>
      <c r="E3" s="13" t="s">
        <v>7</v>
      </c>
      <c r="F3" s="16"/>
      <c r="G3" s="13" t="s">
        <v>106</v>
      </c>
      <c r="H3" s="18"/>
      <c r="I3" s="99" t="s">
        <v>8</v>
      </c>
      <c r="J3" s="100" t="s">
        <v>81</v>
      </c>
      <c r="K3" s="40"/>
      <c r="L3" s="97" t="s">
        <v>8</v>
      </c>
      <c r="M3" s="98" t="s">
        <v>93</v>
      </c>
      <c r="N3" s="18"/>
      <c r="O3" s="101" t="s">
        <v>8</v>
      </c>
      <c r="P3" s="102" t="s">
        <v>82</v>
      </c>
      <c r="Q3" s="18"/>
      <c r="R3" s="119" t="s">
        <v>8</v>
      </c>
      <c r="S3" s="128" t="s">
        <v>84</v>
      </c>
      <c r="T3" s="18"/>
      <c r="U3" s="120" t="s">
        <v>8</v>
      </c>
      <c r="V3" s="121" t="s">
        <v>83</v>
      </c>
      <c r="W3" s="18"/>
      <c r="X3" s="103" t="s">
        <v>8</v>
      </c>
      <c r="Y3" s="104" t="s">
        <v>85</v>
      </c>
      <c r="Z3" s="18"/>
      <c r="AA3" s="105" t="s">
        <v>8</v>
      </c>
      <c r="AB3" s="106" t="s">
        <v>86</v>
      </c>
      <c r="AC3" s="18"/>
      <c r="AD3" s="161" t="s">
        <v>8</v>
      </c>
      <c r="AE3" s="160" t="s">
        <v>107</v>
      </c>
      <c r="AF3" s="18"/>
      <c r="AG3" s="107" t="s">
        <v>8</v>
      </c>
      <c r="AH3" s="108" t="s">
        <v>87</v>
      </c>
      <c r="AI3" s="18"/>
      <c r="AJ3" s="109" t="s">
        <v>8</v>
      </c>
      <c r="AK3" s="110" t="s">
        <v>88</v>
      </c>
      <c r="AL3" s="18"/>
      <c r="AM3" s="111" t="s">
        <v>8</v>
      </c>
      <c r="AN3" s="112" t="s">
        <v>89</v>
      </c>
      <c r="AO3" s="18"/>
      <c r="AP3" s="126" t="s">
        <v>8</v>
      </c>
      <c r="AQ3" s="127" t="s">
        <v>90</v>
      </c>
      <c r="AR3" s="18"/>
      <c r="AS3" s="162" t="s">
        <v>8</v>
      </c>
      <c r="AT3" s="163" t="s">
        <v>108</v>
      </c>
      <c r="AU3" s="18"/>
      <c r="AV3" s="116" t="s">
        <v>8</v>
      </c>
      <c r="AW3" s="115" t="s">
        <v>95</v>
      </c>
      <c r="AX3" s="18"/>
      <c r="AY3" s="165" t="s">
        <v>8</v>
      </c>
      <c r="AZ3" s="164" t="s">
        <v>109</v>
      </c>
      <c r="BA3" s="18"/>
      <c r="BB3" s="113" t="s">
        <v>8</v>
      </c>
      <c r="BC3" s="114" t="s">
        <v>91</v>
      </c>
      <c r="BD3" s="18"/>
      <c r="BE3" s="168" t="s">
        <v>8</v>
      </c>
      <c r="BF3" s="169" t="s">
        <v>113</v>
      </c>
      <c r="BG3" s="18"/>
      <c r="BH3" s="117" t="s">
        <v>8</v>
      </c>
      <c r="BI3" s="118" t="s">
        <v>92</v>
      </c>
      <c r="BJ3" s="18"/>
      <c r="BK3" s="167" t="s">
        <v>8</v>
      </c>
      <c r="BL3" s="166" t="s">
        <v>110</v>
      </c>
      <c r="BM3" s="18"/>
      <c r="BN3" s="170" t="s">
        <v>8</v>
      </c>
      <c r="BO3" s="171" t="s">
        <v>114</v>
      </c>
      <c r="BP3" s="18"/>
      <c r="BQ3" s="49">
        <f>IF(D25=2,28,IF(D25=3,20,IF(D25=4,16,IF(D25=5,13,IF(D25=6,11,IF(D25=7,9,"Error"))))))</f>
        <v>9</v>
      </c>
      <c r="BR3" s="18"/>
      <c r="BS3" s="14" t="s">
        <v>34</v>
      </c>
      <c r="BT3" s="14"/>
      <c r="BU3" s="14" t="s">
        <v>10</v>
      </c>
      <c r="BV3" s="18"/>
      <c r="BW3" s="14" t="s">
        <v>6</v>
      </c>
      <c r="BX3" s="14" t="s">
        <v>7</v>
      </c>
      <c r="BY3" s="18"/>
      <c r="BZ3" s="287" t="s">
        <v>5</v>
      </c>
      <c r="CA3" s="287"/>
      <c r="CB3" s="287"/>
      <c r="CC3" s="15"/>
      <c r="CD3" s="130" t="s">
        <v>11</v>
      </c>
      <c r="CE3" s="9"/>
      <c r="CF3" s="133" t="s">
        <v>9</v>
      </c>
      <c r="CG3" s="9"/>
      <c r="CI3" s="133" t="s">
        <v>96</v>
      </c>
      <c r="CJ3" s="9"/>
    </row>
    <row r="4" spans="1:88" ht="14.5" customHeight="1" x14ac:dyDescent="0.15">
      <c r="A4" s="5"/>
      <c r="B4" s="69" t="s">
        <v>37</v>
      </c>
      <c r="C4" s="143"/>
      <c r="D4" s="144">
        <f>IF(D$25=3,420,IF(D$25=4,315,IF(D$25=5,252,IF(D$25=6,210,IF(D$25=7,180,"Error")))))</f>
        <v>180</v>
      </c>
      <c r="E4" s="74">
        <f t="shared" ref="E4:E10" si="0">D4</f>
        <v>180</v>
      </c>
      <c r="F4" s="23"/>
      <c r="G4" s="123">
        <v>0</v>
      </c>
      <c r="H4" s="40"/>
      <c r="I4" s="29"/>
      <c r="J4" s="79"/>
      <c r="K4" s="40"/>
      <c r="L4" s="29"/>
      <c r="M4" s="79">
        <v>0</v>
      </c>
      <c r="N4" s="40"/>
      <c r="O4" s="29"/>
      <c r="P4" s="79">
        <v>0</v>
      </c>
      <c r="Q4" s="40"/>
      <c r="R4" s="29"/>
      <c r="S4" s="79">
        <v>0</v>
      </c>
      <c r="T4" s="46"/>
      <c r="U4" s="29"/>
      <c r="V4" s="79">
        <v>0</v>
      </c>
      <c r="W4" s="40"/>
      <c r="X4" s="29"/>
      <c r="Y4" s="79">
        <v>0</v>
      </c>
      <c r="Z4" s="40"/>
      <c r="AA4" s="29"/>
      <c r="AB4" s="79">
        <v>0</v>
      </c>
      <c r="AC4" s="40"/>
      <c r="AD4" s="29"/>
      <c r="AE4" s="79">
        <v>0</v>
      </c>
      <c r="AF4" s="46"/>
      <c r="AG4" s="29"/>
      <c r="AH4" s="79">
        <v>0</v>
      </c>
      <c r="AI4" s="40"/>
      <c r="AJ4" s="29"/>
      <c r="AK4" s="79">
        <v>0</v>
      </c>
      <c r="AL4" s="40"/>
      <c r="AM4" s="29"/>
      <c r="AN4" s="79">
        <v>0</v>
      </c>
      <c r="AO4" s="40"/>
      <c r="AP4" s="29"/>
      <c r="AQ4" s="79">
        <v>0</v>
      </c>
      <c r="AR4" s="40"/>
      <c r="AS4" s="29"/>
      <c r="AT4" s="79">
        <v>0</v>
      </c>
      <c r="AU4" s="40"/>
      <c r="AV4" s="29"/>
      <c r="AW4" s="79">
        <v>0</v>
      </c>
      <c r="AX4" s="40"/>
      <c r="AY4" s="29"/>
      <c r="AZ4" s="79">
        <v>0</v>
      </c>
      <c r="BA4" s="40"/>
      <c r="BB4" s="29"/>
      <c r="BC4" s="79">
        <v>0</v>
      </c>
      <c r="BD4" s="40"/>
      <c r="BE4" s="29"/>
      <c r="BF4" s="79">
        <v>0</v>
      </c>
      <c r="BG4" s="40"/>
      <c r="BH4" s="29"/>
      <c r="BI4" s="79">
        <v>0</v>
      </c>
      <c r="BJ4" s="40"/>
      <c r="BK4" s="29"/>
      <c r="BL4" s="79">
        <v>0</v>
      </c>
      <c r="BM4" s="40"/>
      <c r="BN4" s="29"/>
      <c r="BO4" s="79">
        <v>0</v>
      </c>
      <c r="BP4" s="40"/>
      <c r="BQ4" s="77">
        <f>IF(J4&lt;0,0,IF(I4="x",J4-1,J4))+IF(M4&lt;0,0,IF(L4="x",M4-1,M4))+IF(P4&lt;0,0,IF(O4="x",P4-1,P4))+IF(S4&lt;0,0,IF(R4="x",S4-1,S4))+IF(V4&lt;0,0,IF(U4="x",V4-1,V4))+IF(Y4&lt;0,0,IF(X4="x",Y4-1,Y4))+IF(AB4&lt;0,0,IF(AA4="x",AB4-1,AB4))+IF(AE4&lt;0,0,IF(AD4="x",AE4-1,AE4))+IF(AH4&lt;0,0,IF(AG4="x",AH4-1,AH4))+IF(AK4&lt;0,0,IF(AJ4="x",AK4-1,AK4))+IF(AN4&lt;0,0,IF(AM4="x",AN4-1,AN4))+IF(AQ4&lt;0,0,IF(AP4="x",AQ4-1,AQ4))+IF(AT4&lt;0,0,IF(AS4="x",AT4-1,AT4))+IF(AW4&lt;0,0,IF(AV4="x",AW4-1,AW4))+IF(AZ4&lt;0,0,IF(AY4="x",AZ4-1,AZ4))+IF(BC4&lt;0,0,IF(BB4="x",BC4-1,BC4))+IF(BF4&lt;0,0,IF(BE4="x",BF4-1,BF4))+IF(BI4&lt;0,0,IF(BH4="x",BI4-1,BI4))+IF(BL4&lt;0,0,IF(BK4="x",BL4-1,BL4))+IF(BO4&lt;0,0,IF(BN4="x",BO4-1,BO4))</f>
        <v>0</v>
      </c>
      <c r="BR4" s="23"/>
      <c r="BS4" s="83">
        <f>J4*I$22/I$13+M4*L$22/L$13+P4*O$22/O$13+S4*R$22/R$13+V4*U$22/U$13+Y4*X$22/X$13+AB4*AA$22/AA$13+AE4*AD$22/AD$13+AH4*AG$22/AG$13+AK4*AJ$22/AJ$13+AN4*AM$22/AM$13+AQ4*AP$22/AP$13+AT4*AS$22/AS$13+AW4*AV$22/AV$13+AZ4*AY$22/AY$13+BC4*BB$22/BB$13+BF4*BE$22/BE$13+BI4*BH$22/BH$13+BL4*BK$22/BK$13+BO4*BN$22/BN$13</f>
        <v>0</v>
      </c>
      <c r="BT4" s="23"/>
      <c r="BU4" s="74">
        <v>0</v>
      </c>
      <c r="BV4" s="25"/>
      <c r="BW4" s="149">
        <f t="shared" ref="BW4:BW10" si="1">IF(D4="","",D4+G4+BS4+BU4)</f>
        <v>180</v>
      </c>
      <c r="BX4" s="83">
        <f>J4*I$14+M4*L$14+P4*O$14+S4*R$14+V4*U$14+Y4*X$14+AB4*AA$14+AE4*AD$14+AH4*AG$14+AK4*AJ$14+AN4*AM$14+AQ4*AP$14+AT4*AS$14+AW4*AV$14+AZ4*AY$14+BC4*BB$14+BF4*BE$14+BI4*BH$14+BL4*BK$14+BO4*BN$14+BW4</f>
        <v>180</v>
      </c>
      <c r="BY4" s="25"/>
      <c r="BZ4" s="288" t="str">
        <f t="shared" ref="BZ4:BZ10" si="2">B4</f>
        <v>Player 1</v>
      </c>
      <c r="CA4" s="288"/>
      <c r="CB4" s="288"/>
      <c r="CC4" s="5"/>
      <c r="CD4" s="131">
        <f>J4+M4+P4+S4+V4+Y4+AB4+AE4+AH4+AK4+AN4+AQ4+AT4+AW4+AZ4+BC4+BI4+BO4</f>
        <v>0</v>
      </c>
      <c r="CE4" s="9"/>
      <c r="CF4" s="134"/>
      <c r="CG4" s="9"/>
      <c r="CH4" s="7"/>
      <c r="CI4" s="136">
        <f>IF(D4="","",(BW4+IF(ISERR(FIND("1",CF4)),0,BX$24)+IF(ISERR(FIND("2",CF4)),0,BX$25)+IF(ISERR(FIND("3",CF4)),0,BX$26)+IF(ISERR(FIND("4",CF4)),0,BX$27)+IF(ISERR(FIND("5",CF4)),0,BX$28)+IF(ISERR(FIND("6",CF4)),0,BX$29)+IF(ISERR(FIND("7",CF4)),0,BX$30)+IF(ISERR(FIND("8",CF4)),0,BX$31)+IF(ISERR(FIND("A",CF4)),0,BX$32)+IF(ISERR(FIND("B",CF4)),0,BX$33)+IF(ISERR(FIND("C",CF4)),0,BX$34)))</f>
        <v>180</v>
      </c>
      <c r="CJ4" s="9"/>
    </row>
    <row r="5" spans="1:88" ht="14.5" customHeight="1" x14ac:dyDescent="0.15">
      <c r="A5" s="5"/>
      <c r="B5" s="70" t="s">
        <v>38</v>
      </c>
      <c r="C5" s="25"/>
      <c r="D5" s="145">
        <f>IF(D$25=3,420,IF(D$25=4,315,IF(D$25=5,252,IF(D$25=6,210,IF(D$25=7,180,"Error")))))</f>
        <v>180</v>
      </c>
      <c r="E5" s="66">
        <f t="shared" si="0"/>
        <v>180</v>
      </c>
      <c r="F5" s="23"/>
      <c r="G5" s="122">
        <v>0</v>
      </c>
      <c r="H5" s="40"/>
      <c r="I5" s="30"/>
      <c r="J5" s="80">
        <v>0</v>
      </c>
      <c r="K5" s="40"/>
      <c r="L5" s="30"/>
      <c r="M5" s="80">
        <v>0</v>
      </c>
      <c r="N5" s="40"/>
      <c r="O5" s="30"/>
      <c r="P5" s="80">
        <v>0</v>
      </c>
      <c r="Q5" s="40"/>
      <c r="R5" s="30"/>
      <c r="S5" s="80">
        <v>0</v>
      </c>
      <c r="T5" s="40"/>
      <c r="U5" s="30"/>
      <c r="V5" s="80">
        <v>0</v>
      </c>
      <c r="W5" s="40"/>
      <c r="X5" s="30"/>
      <c r="Y5" s="80">
        <v>0</v>
      </c>
      <c r="Z5" s="40"/>
      <c r="AA5" s="30"/>
      <c r="AB5" s="80">
        <v>0</v>
      </c>
      <c r="AC5" s="40"/>
      <c r="AD5" s="30"/>
      <c r="AE5" s="80">
        <v>0</v>
      </c>
      <c r="AF5" s="40"/>
      <c r="AG5" s="30"/>
      <c r="AH5" s="80">
        <v>0</v>
      </c>
      <c r="AI5" s="40"/>
      <c r="AJ5" s="30"/>
      <c r="AK5" s="80">
        <v>0</v>
      </c>
      <c r="AL5" s="40"/>
      <c r="AM5" s="30"/>
      <c r="AN5" s="80">
        <v>0</v>
      </c>
      <c r="AO5" s="40"/>
      <c r="AP5" s="30"/>
      <c r="AQ5" s="80">
        <v>0</v>
      </c>
      <c r="AR5" s="40"/>
      <c r="AS5" s="30"/>
      <c r="AT5" s="80">
        <v>0</v>
      </c>
      <c r="AU5" s="40"/>
      <c r="AV5" s="30"/>
      <c r="AW5" s="80">
        <v>0</v>
      </c>
      <c r="AX5" s="40"/>
      <c r="AY5" s="30"/>
      <c r="AZ5" s="80">
        <v>0</v>
      </c>
      <c r="BA5" s="40"/>
      <c r="BB5" s="30"/>
      <c r="BC5" s="80">
        <v>0</v>
      </c>
      <c r="BD5" s="40"/>
      <c r="BE5" s="30"/>
      <c r="BF5" s="80">
        <v>0</v>
      </c>
      <c r="BG5" s="40"/>
      <c r="BH5" s="30"/>
      <c r="BI5" s="80">
        <v>0</v>
      </c>
      <c r="BJ5" s="40"/>
      <c r="BK5" s="30"/>
      <c r="BL5" s="80">
        <v>0</v>
      </c>
      <c r="BM5" s="40"/>
      <c r="BN5" s="30"/>
      <c r="BO5" s="80">
        <v>0</v>
      </c>
      <c r="BP5" s="40"/>
      <c r="BQ5" s="67">
        <f t="shared" ref="BQ5:BQ10" si="3">IF(J5&lt;0,0,IF(I5="x",J5-1,J5))+IF(M5&lt;0,0,IF(L5="x",M5-1,M5))+IF(P5&lt;0,0,IF(O5="x",P5-1,P5))+IF(S5&lt;0,0,IF(R5="x",S5-1,S5))+IF(V5&lt;0,0,IF(U5="x",V5-1,V5))+IF(Y5&lt;0,0,IF(X5="x",Y5-1,Y5))+IF(AB5&lt;0,0,IF(AA5="x",AB5-1,AB5))+IF(AE5&lt;0,0,IF(AD5="x",AE5-1,AE5))+IF(AH5&lt;0,0,IF(AG5="x",AH5-1,AH5))+IF(AK5&lt;0,0,IF(AJ5="x",AK5-1,AK5))+IF(AN5&lt;0,0,IF(AM5="x",AN5-1,AN5))+IF(AQ5&lt;0,0,IF(AP5="x",AQ5-1,AQ5))+IF(AT5&lt;0,0,IF(AS5="x",AT5-1,AT5))+IF(AW5&lt;0,0,IF(AV5="x",AW5-1,AW5))+IF(AZ5&lt;0,0,IF(AY5="x",AZ5-1,AZ5))+IF(BC5&lt;0,0,IF(BB5="x",BC5-1,BC5))+IF(BF5&lt;0,0,IF(BE5="x",BF5-1,BF5))+IF(BI5&lt;0,0,IF(BH5="x",BI5-1,BI5))+IF(BL5&lt;0,0,IF(BK5="x",BL5-1,BL5))+IF(BO5&lt;0,0,IF(BN5="x",BO5-1,BO5))</f>
        <v>0</v>
      </c>
      <c r="BR5" s="23"/>
      <c r="BS5" s="68">
        <f t="shared" ref="BS5:BS10" si="4">J5*I$22/I$13+M5*L$22/L$13+P5*O$22/O$13+S5*R$22/R$13+V5*U$22/U$13+Y5*X$22/X$13+AB5*AA$22/AA$13+AE5*AD$22/AD$13+AH5*AG$22/AG$13+AK5*AJ$22/AJ$13+AN5*AM$22/AM$13+AQ5*AP$22/AP$13+AT5*AS$22/AS$13+AW5*AV$22/AV$13+AZ5*AY$22/AY$13+BC5*BB$22/BB$13+BF5*BE$22/BE$13+BI5*BH$22/BH$13+BL5*BK$22/BK$13+BO5*BN$22/BN$13</f>
        <v>0</v>
      </c>
      <c r="BT5" s="23"/>
      <c r="BU5" s="66">
        <v>0</v>
      </c>
      <c r="BV5" s="25"/>
      <c r="BW5" s="150">
        <f t="shared" si="1"/>
        <v>180</v>
      </c>
      <c r="BX5" s="68">
        <f t="shared" ref="BX5:BX10" si="5">J5*I$14+M5*L$14+P5*O$14+S5*R$14+V5*U$14+Y5*X$14+AB5*AA$14+AE5*AD$14+AH5*AG$14+AK5*AJ$14+AN5*AM$14+AQ5*AP$14+AT5*AS$14+AW5*AV$14+AZ5*AY$14+BC5*BB$14+BF5*BE$14+BI5*BH$14+BL5*BK$14+BO5*BN$14+BW5</f>
        <v>180</v>
      </c>
      <c r="BY5" s="25"/>
      <c r="BZ5" s="289" t="str">
        <f t="shared" si="2"/>
        <v>Player 2</v>
      </c>
      <c r="CA5" s="289"/>
      <c r="CB5" s="289"/>
      <c r="CC5" s="5"/>
      <c r="CD5" s="131">
        <f t="shared" ref="CD5:CD10" si="6">J5+M5+P5+S5+V5+Y5+AB5+AE5+AH5+AK5+AN5+AQ5+AT5+AW5+AZ5+BC5+BI5+BO5</f>
        <v>0</v>
      </c>
      <c r="CE5" s="9"/>
      <c r="CF5" s="134"/>
      <c r="CG5" s="9"/>
      <c r="CH5" s="7"/>
      <c r="CI5" s="136">
        <f t="shared" ref="CI5:CI10" si="7">IF(D5="","",(BW5+IF(ISERR(FIND("1",CF5)),0,BX$24)+IF(ISERR(FIND("2",CF5)),0,BX$25)+IF(ISERR(FIND("3",CF5)),0,BX$26)+IF(ISERR(FIND("4",CF5)),0,BX$27)+IF(ISERR(FIND("5",CF5)),0,BX$28)+IF(ISERR(FIND("6",CF5)),0,BX$29)+IF(ISERR(FIND("7",CF5)),0,BX$30)+IF(ISERR(FIND("8",CF5)),0,BX$31)+IF(ISERR(FIND("A",CF5)),0,BX$32)+IF(ISERR(FIND("B",CF5)),0,BX$33)+IF(ISERR(FIND("C",CF5)),0,BX$34)))</f>
        <v>180</v>
      </c>
      <c r="CJ5" s="9"/>
    </row>
    <row r="6" spans="1:88" ht="14.5" customHeight="1" x14ac:dyDescent="0.15">
      <c r="A6" s="5"/>
      <c r="B6" s="71" t="s">
        <v>39</v>
      </c>
      <c r="C6" s="25"/>
      <c r="D6" s="146">
        <f>IF(D$25=3,420,IF(D$25=4,315,IF(D$25=5,252,IF(D$25=6,210,IF(D$25=7,180,"Error")))))</f>
        <v>180</v>
      </c>
      <c r="E6" s="35">
        <f t="shared" si="0"/>
        <v>180</v>
      </c>
      <c r="F6" s="23"/>
      <c r="G6" s="125">
        <v>0</v>
      </c>
      <c r="H6" s="40"/>
      <c r="I6" s="31"/>
      <c r="J6" s="81">
        <v>0</v>
      </c>
      <c r="K6" s="40"/>
      <c r="L6" s="31" t="s">
        <v>1</v>
      </c>
      <c r="M6" s="81">
        <v>0</v>
      </c>
      <c r="N6" s="40"/>
      <c r="O6" s="31"/>
      <c r="P6" s="81">
        <v>0</v>
      </c>
      <c r="Q6" s="40"/>
      <c r="R6" s="31" t="s">
        <v>1</v>
      </c>
      <c r="S6" s="81">
        <v>0</v>
      </c>
      <c r="T6" s="40"/>
      <c r="U6" s="31" t="s">
        <v>1</v>
      </c>
      <c r="V6" s="81">
        <v>0</v>
      </c>
      <c r="W6" s="40"/>
      <c r="X6" s="31"/>
      <c r="Y6" s="81">
        <v>0</v>
      </c>
      <c r="Z6" s="40"/>
      <c r="AA6" s="31"/>
      <c r="AB6" s="81">
        <v>0</v>
      </c>
      <c r="AC6" s="40"/>
      <c r="AD6" s="31" t="s">
        <v>1</v>
      </c>
      <c r="AE6" s="81">
        <v>0</v>
      </c>
      <c r="AF6" s="40"/>
      <c r="AG6" s="31" t="s">
        <v>1</v>
      </c>
      <c r="AH6" s="81">
        <v>0</v>
      </c>
      <c r="AI6" s="40"/>
      <c r="AJ6" s="31"/>
      <c r="AK6" s="81">
        <v>0</v>
      </c>
      <c r="AL6" s="40"/>
      <c r="AM6" s="31"/>
      <c r="AN6" s="81">
        <v>0</v>
      </c>
      <c r="AO6" s="40"/>
      <c r="AP6" s="31"/>
      <c r="AQ6" s="81">
        <v>0</v>
      </c>
      <c r="AR6" s="40"/>
      <c r="AS6" s="31" t="s">
        <v>1</v>
      </c>
      <c r="AT6" s="81">
        <v>0</v>
      </c>
      <c r="AU6" s="40"/>
      <c r="AV6" s="31"/>
      <c r="AW6" s="81">
        <v>0</v>
      </c>
      <c r="AX6" s="40"/>
      <c r="AY6" s="31"/>
      <c r="AZ6" s="81">
        <v>0</v>
      </c>
      <c r="BA6" s="40"/>
      <c r="BB6" s="31"/>
      <c r="BC6" s="81">
        <v>0</v>
      </c>
      <c r="BD6" s="40"/>
      <c r="BE6" s="31"/>
      <c r="BF6" s="81">
        <v>0</v>
      </c>
      <c r="BG6" s="40"/>
      <c r="BH6" s="31" t="s">
        <v>1</v>
      </c>
      <c r="BI6" s="81">
        <v>0</v>
      </c>
      <c r="BJ6" s="40"/>
      <c r="BK6" s="31"/>
      <c r="BL6" s="81">
        <v>0</v>
      </c>
      <c r="BM6" s="40"/>
      <c r="BN6" s="31"/>
      <c r="BO6" s="81">
        <v>0</v>
      </c>
      <c r="BP6" s="40"/>
      <c r="BQ6" s="6">
        <f t="shared" si="3"/>
        <v>0</v>
      </c>
      <c r="BR6" s="23"/>
      <c r="BS6" s="53">
        <f t="shared" si="4"/>
        <v>0</v>
      </c>
      <c r="BT6" s="23"/>
      <c r="BU6" s="35">
        <v>0</v>
      </c>
      <c r="BV6" s="25"/>
      <c r="BW6" s="151">
        <f t="shared" si="1"/>
        <v>180</v>
      </c>
      <c r="BX6" s="53">
        <f t="shared" si="5"/>
        <v>180</v>
      </c>
      <c r="BY6" s="25"/>
      <c r="BZ6" s="288" t="str">
        <f t="shared" si="2"/>
        <v>Player 3</v>
      </c>
      <c r="CA6" s="288"/>
      <c r="CB6" s="288"/>
      <c r="CC6" s="5"/>
      <c r="CD6" s="131">
        <f t="shared" si="6"/>
        <v>0</v>
      </c>
      <c r="CE6" s="9"/>
      <c r="CF6" s="134"/>
      <c r="CG6" s="9"/>
      <c r="CH6" s="7"/>
      <c r="CI6" s="136">
        <f t="shared" si="7"/>
        <v>180</v>
      </c>
      <c r="CJ6" s="9"/>
    </row>
    <row r="7" spans="1:88" ht="14.5" customHeight="1" x14ac:dyDescent="0.15">
      <c r="A7" s="5"/>
      <c r="B7" s="70" t="s">
        <v>40</v>
      </c>
      <c r="C7" s="25"/>
      <c r="D7" s="145">
        <f>IF(D$25=3,"",IF(D$25=4,315,IF(D$25=5,252,IF(D$25=6,210,IF(D$25=7,180,"Error")))))</f>
        <v>180</v>
      </c>
      <c r="E7" s="66">
        <f t="shared" si="0"/>
        <v>180</v>
      </c>
      <c r="F7" s="23"/>
      <c r="G7" s="122">
        <v>0</v>
      </c>
      <c r="H7" s="40"/>
      <c r="I7" s="30" t="s">
        <v>1</v>
      </c>
      <c r="J7" s="80">
        <v>0</v>
      </c>
      <c r="K7" s="40"/>
      <c r="L7" s="30"/>
      <c r="M7" s="80">
        <v>0</v>
      </c>
      <c r="N7" s="40"/>
      <c r="O7" s="30"/>
      <c r="P7" s="80">
        <v>0</v>
      </c>
      <c r="Q7" s="40"/>
      <c r="R7" s="30"/>
      <c r="S7" s="80">
        <v>0</v>
      </c>
      <c r="T7" s="40"/>
      <c r="U7" s="30"/>
      <c r="V7" s="80">
        <v>0</v>
      </c>
      <c r="W7" s="40"/>
      <c r="X7" s="30"/>
      <c r="Y7" s="80">
        <v>0</v>
      </c>
      <c r="Z7" s="40"/>
      <c r="AA7" s="30"/>
      <c r="AB7" s="80">
        <v>0</v>
      </c>
      <c r="AC7" s="40"/>
      <c r="AD7" s="30"/>
      <c r="AE7" s="80">
        <v>0</v>
      </c>
      <c r="AF7" s="40"/>
      <c r="AG7" s="30"/>
      <c r="AH7" s="80">
        <v>0</v>
      </c>
      <c r="AI7" s="40"/>
      <c r="AJ7" s="30"/>
      <c r="AK7" s="80">
        <v>0</v>
      </c>
      <c r="AL7" s="40"/>
      <c r="AM7" s="30"/>
      <c r="AN7" s="80">
        <v>0</v>
      </c>
      <c r="AO7" s="40"/>
      <c r="AP7" s="30"/>
      <c r="AQ7" s="80">
        <v>0</v>
      </c>
      <c r="AR7" s="40"/>
      <c r="AS7" s="30"/>
      <c r="AT7" s="80">
        <v>0</v>
      </c>
      <c r="AU7" s="40"/>
      <c r="AV7" s="30"/>
      <c r="AW7" s="80">
        <v>0</v>
      </c>
      <c r="AX7" s="40"/>
      <c r="AY7" s="30"/>
      <c r="AZ7" s="80">
        <v>0</v>
      </c>
      <c r="BA7" s="40"/>
      <c r="BB7" s="30"/>
      <c r="BC7" s="80">
        <v>0</v>
      </c>
      <c r="BD7" s="40"/>
      <c r="BE7" s="30"/>
      <c r="BF7" s="80">
        <v>0</v>
      </c>
      <c r="BG7" s="40"/>
      <c r="BH7" s="30"/>
      <c r="BI7" s="80">
        <v>0</v>
      </c>
      <c r="BJ7" s="40"/>
      <c r="BK7" s="30"/>
      <c r="BL7" s="80">
        <v>0</v>
      </c>
      <c r="BM7" s="40"/>
      <c r="BN7" s="30"/>
      <c r="BO7" s="80">
        <v>0</v>
      </c>
      <c r="BP7" s="40"/>
      <c r="BQ7" s="67">
        <f t="shared" si="3"/>
        <v>0</v>
      </c>
      <c r="BR7" s="23"/>
      <c r="BS7" s="68">
        <f t="shared" si="4"/>
        <v>0</v>
      </c>
      <c r="BT7" s="23"/>
      <c r="BU7" s="66">
        <v>0</v>
      </c>
      <c r="BV7" s="25"/>
      <c r="BW7" s="150">
        <f t="shared" si="1"/>
        <v>180</v>
      </c>
      <c r="BX7" s="68">
        <f t="shared" si="5"/>
        <v>180</v>
      </c>
      <c r="BY7" s="25"/>
      <c r="BZ7" s="289" t="str">
        <f t="shared" si="2"/>
        <v>Player 4</v>
      </c>
      <c r="CA7" s="289"/>
      <c r="CB7" s="289"/>
      <c r="CC7" s="5"/>
      <c r="CD7" s="131">
        <f t="shared" si="6"/>
        <v>0</v>
      </c>
      <c r="CE7" s="9"/>
      <c r="CF7" s="134"/>
      <c r="CG7" s="9"/>
      <c r="CH7" s="7"/>
      <c r="CI7" s="136">
        <f t="shared" si="7"/>
        <v>180</v>
      </c>
      <c r="CJ7" s="9"/>
    </row>
    <row r="8" spans="1:88" ht="14.5" customHeight="1" x14ac:dyDescent="0.15">
      <c r="A8" s="5"/>
      <c r="B8" s="72" t="s">
        <v>41</v>
      </c>
      <c r="C8" s="25"/>
      <c r="D8" s="146">
        <f>IF(D$25=3,"",IF(D$25=4,"",IF(D$25=5,252,IF(D$25=6,210,IF(D$25=7,180,"Error")))))</f>
        <v>180</v>
      </c>
      <c r="E8" s="35">
        <f t="shared" si="0"/>
        <v>180</v>
      </c>
      <c r="F8" s="23"/>
      <c r="G8" s="125">
        <v>0</v>
      </c>
      <c r="H8" s="40"/>
      <c r="I8" s="31" t="s">
        <v>1</v>
      </c>
      <c r="J8" s="81">
        <v>0</v>
      </c>
      <c r="K8" s="40"/>
      <c r="L8" s="31"/>
      <c r="M8" s="81">
        <v>0</v>
      </c>
      <c r="N8" s="40"/>
      <c r="O8" s="31" t="s">
        <v>1</v>
      </c>
      <c r="P8" s="81">
        <v>0</v>
      </c>
      <c r="Q8" s="40"/>
      <c r="R8" s="31" t="s">
        <v>1</v>
      </c>
      <c r="S8" s="81">
        <v>0</v>
      </c>
      <c r="T8" s="40"/>
      <c r="U8" s="31" t="s">
        <v>1</v>
      </c>
      <c r="V8" s="81">
        <v>0</v>
      </c>
      <c r="W8" s="40"/>
      <c r="X8" s="31" t="s">
        <v>1</v>
      </c>
      <c r="Y8" s="81">
        <v>0</v>
      </c>
      <c r="Z8" s="40"/>
      <c r="AA8" s="31" t="s">
        <v>1</v>
      </c>
      <c r="AB8" s="81">
        <v>0</v>
      </c>
      <c r="AC8" s="40"/>
      <c r="AD8" s="31" t="s">
        <v>1</v>
      </c>
      <c r="AE8" s="81">
        <v>0</v>
      </c>
      <c r="AF8" s="40"/>
      <c r="AG8" s="31" t="s">
        <v>1</v>
      </c>
      <c r="AH8" s="81">
        <v>0</v>
      </c>
      <c r="AI8" s="40"/>
      <c r="AJ8" s="31" t="s">
        <v>1</v>
      </c>
      <c r="AK8" s="81">
        <v>0</v>
      </c>
      <c r="AL8" s="40"/>
      <c r="AM8" s="31" t="s">
        <v>1</v>
      </c>
      <c r="AN8" s="81">
        <v>0</v>
      </c>
      <c r="AO8" s="40"/>
      <c r="AP8" s="31" t="s">
        <v>1</v>
      </c>
      <c r="AQ8" s="81">
        <v>0</v>
      </c>
      <c r="AR8" s="40"/>
      <c r="AS8" s="31"/>
      <c r="AT8" s="81">
        <v>0</v>
      </c>
      <c r="AU8" s="40"/>
      <c r="AV8" s="31"/>
      <c r="AW8" s="81">
        <v>0</v>
      </c>
      <c r="AX8" s="40"/>
      <c r="AY8" s="31" t="s">
        <v>1</v>
      </c>
      <c r="AZ8" s="81">
        <v>0</v>
      </c>
      <c r="BA8" s="40"/>
      <c r="BB8" s="31" t="s">
        <v>1</v>
      </c>
      <c r="BC8" s="81">
        <v>0</v>
      </c>
      <c r="BD8" s="40"/>
      <c r="BE8" s="31" t="s">
        <v>1</v>
      </c>
      <c r="BF8" s="81">
        <v>0</v>
      </c>
      <c r="BG8" s="40"/>
      <c r="BH8" s="31"/>
      <c r="BI8" s="81">
        <v>0</v>
      </c>
      <c r="BJ8" s="40"/>
      <c r="BK8" s="31"/>
      <c r="BL8" s="81">
        <v>0</v>
      </c>
      <c r="BM8" s="40"/>
      <c r="BN8" s="31"/>
      <c r="BO8" s="81">
        <v>0</v>
      </c>
      <c r="BP8" s="40"/>
      <c r="BQ8" s="6">
        <f t="shared" si="3"/>
        <v>0</v>
      </c>
      <c r="BR8" s="23"/>
      <c r="BS8" s="53">
        <f t="shared" si="4"/>
        <v>0</v>
      </c>
      <c r="BT8" s="23"/>
      <c r="BU8" s="35">
        <v>0</v>
      </c>
      <c r="BV8" s="25"/>
      <c r="BW8" s="151">
        <f t="shared" si="1"/>
        <v>180</v>
      </c>
      <c r="BX8" s="53">
        <f t="shared" si="5"/>
        <v>180</v>
      </c>
      <c r="BY8" s="25"/>
      <c r="BZ8" s="288" t="str">
        <f t="shared" si="2"/>
        <v>Player 5</v>
      </c>
      <c r="CA8" s="288"/>
      <c r="CB8" s="288"/>
      <c r="CC8" s="5"/>
      <c r="CD8" s="131">
        <f t="shared" si="6"/>
        <v>0</v>
      </c>
      <c r="CE8" s="9"/>
      <c r="CF8" s="134"/>
      <c r="CG8" s="9"/>
      <c r="CH8" s="7"/>
      <c r="CI8" s="136">
        <f t="shared" si="7"/>
        <v>180</v>
      </c>
      <c r="CJ8" s="9"/>
    </row>
    <row r="9" spans="1:88" ht="14.5" customHeight="1" thickBot="1" x14ac:dyDescent="0.2">
      <c r="A9" s="5"/>
      <c r="B9" s="70" t="s">
        <v>42</v>
      </c>
      <c r="C9" s="21"/>
      <c r="D9" s="145">
        <f>IF(D$25=3,"",IF(D$25=4,"",IF(D$25=5,"",IF(D$25=6,210,IF(D$25=7,180,"Error")))))</f>
        <v>180</v>
      </c>
      <c r="E9" s="66">
        <f t="shared" si="0"/>
        <v>180</v>
      </c>
      <c r="F9" s="24"/>
      <c r="G9" s="122">
        <v>0</v>
      </c>
      <c r="H9" s="41"/>
      <c r="I9" s="30" t="s">
        <v>1</v>
      </c>
      <c r="J9" s="80">
        <v>0</v>
      </c>
      <c r="K9" s="41"/>
      <c r="L9" s="30"/>
      <c r="M9" s="80">
        <v>0</v>
      </c>
      <c r="N9" s="41"/>
      <c r="O9" s="30"/>
      <c r="P9" s="80">
        <v>0</v>
      </c>
      <c r="Q9" s="41"/>
      <c r="R9" s="30"/>
      <c r="S9" s="80">
        <v>0</v>
      </c>
      <c r="T9" s="41"/>
      <c r="U9" s="30"/>
      <c r="V9" s="80">
        <v>0</v>
      </c>
      <c r="W9" s="41"/>
      <c r="X9" s="30"/>
      <c r="Y9" s="80">
        <v>0</v>
      </c>
      <c r="Z9" s="41"/>
      <c r="AA9" s="30"/>
      <c r="AB9" s="80">
        <v>0</v>
      </c>
      <c r="AC9" s="41"/>
      <c r="AD9" s="30"/>
      <c r="AE9" s="80">
        <v>0</v>
      </c>
      <c r="AF9" s="41"/>
      <c r="AG9" s="30"/>
      <c r="AH9" s="80">
        <v>0</v>
      </c>
      <c r="AI9" s="41"/>
      <c r="AJ9" s="30"/>
      <c r="AK9" s="80">
        <v>0</v>
      </c>
      <c r="AL9" s="41"/>
      <c r="AM9" s="30"/>
      <c r="AN9" s="80">
        <v>0</v>
      </c>
      <c r="AO9" s="41"/>
      <c r="AP9" s="30"/>
      <c r="AQ9" s="80">
        <v>0</v>
      </c>
      <c r="AR9" s="41"/>
      <c r="AS9" s="30"/>
      <c r="AT9" s="80">
        <v>0</v>
      </c>
      <c r="AU9" s="41"/>
      <c r="AV9" s="30"/>
      <c r="AW9" s="80">
        <v>0</v>
      </c>
      <c r="AX9" s="41"/>
      <c r="AY9" s="30"/>
      <c r="AZ9" s="80">
        <v>0</v>
      </c>
      <c r="BA9" s="41"/>
      <c r="BB9" s="30"/>
      <c r="BC9" s="80">
        <v>0</v>
      </c>
      <c r="BD9" s="41"/>
      <c r="BE9" s="30"/>
      <c r="BF9" s="80">
        <v>0</v>
      </c>
      <c r="BG9" s="41"/>
      <c r="BH9" s="30"/>
      <c r="BI9" s="80">
        <v>0</v>
      </c>
      <c r="BJ9" s="41"/>
      <c r="BK9" s="30"/>
      <c r="BL9" s="80">
        <v>0</v>
      </c>
      <c r="BM9" s="41"/>
      <c r="BN9" s="30"/>
      <c r="BO9" s="80">
        <v>0</v>
      </c>
      <c r="BP9" s="41"/>
      <c r="BQ9" s="67">
        <f t="shared" si="3"/>
        <v>0</v>
      </c>
      <c r="BR9" s="24"/>
      <c r="BS9" s="68">
        <f t="shared" si="4"/>
        <v>0</v>
      </c>
      <c r="BT9" s="24"/>
      <c r="BU9" s="66">
        <v>0</v>
      </c>
      <c r="BV9" s="21"/>
      <c r="BW9" s="150">
        <f t="shared" si="1"/>
        <v>180</v>
      </c>
      <c r="BX9" s="68">
        <f t="shared" si="5"/>
        <v>180</v>
      </c>
      <c r="BY9" s="21"/>
      <c r="BZ9" s="289" t="str">
        <f t="shared" si="2"/>
        <v>Player 6</v>
      </c>
      <c r="CA9" s="289"/>
      <c r="CB9" s="289"/>
      <c r="CC9" s="28"/>
      <c r="CD9" s="131">
        <f t="shared" si="6"/>
        <v>0</v>
      </c>
      <c r="CE9" s="9"/>
      <c r="CF9" s="134"/>
      <c r="CG9" s="9"/>
      <c r="CH9" s="7"/>
      <c r="CI9" s="136">
        <f t="shared" si="7"/>
        <v>180</v>
      </c>
      <c r="CJ9" s="9"/>
    </row>
    <row r="10" spans="1:88" ht="14.5" customHeight="1" thickBot="1" x14ac:dyDescent="0.2">
      <c r="A10" s="5"/>
      <c r="B10" s="73" t="s">
        <v>53</v>
      </c>
      <c r="C10" s="25"/>
      <c r="D10" s="147">
        <f>IF(D$25=3,"",IF(D$25=4,"",IF(D$25=5,"",IF(D$25=6,"",IF(D$25=7,180,"Error")))))</f>
        <v>180</v>
      </c>
      <c r="E10" s="75">
        <f t="shared" si="0"/>
        <v>180</v>
      </c>
      <c r="F10" s="23"/>
      <c r="G10" s="124">
        <v>0</v>
      </c>
      <c r="H10" s="40"/>
      <c r="I10" s="76" t="s">
        <v>1</v>
      </c>
      <c r="J10" s="82">
        <v>0</v>
      </c>
      <c r="K10" s="40"/>
      <c r="L10" s="76"/>
      <c r="M10" s="82">
        <v>0</v>
      </c>
      <c r="N10" s="40"/>
      <c r="O10" s="76" t="s">
        <v>1</v>
      </c>
      <c r="P10" s="82">
        <v>0</v>
      </c>
      <c r="Q10" s="40"/>
      <c r="R10" s="76" t="s">
        <v>1</v>
      </c>
      <c r="S10" s="82">
        <v>0</v>
      </c>
      <c r="T10" s="40"/>
      <c r="U10" s="76" t="s">
        <v>1</v>
      </c>
      <c r="V10" s="82">
        <v>0</v>
      </c>
      <c r="W10" s="40"/>
      <c r="X10" s="76" t="s">
        <v>1</v>
      </c>
      <c r="Y10" s="82">
        <v>0</v>
      </c>
      <c r="Z10" s="40"/>
      <c r="AA10" s="76" t="s">
        <v>1</v>
      </c>
      <c r="AB10" s="82">
        <v>0</v>
      </c>
      <c r="AC10" s="40"/>
      <c r="AD10" s="76" t="s">
        <v>1</v>
      </c>
      <c r="AE10" s="82">
        <v>0</v>
      </c>
      <c r="AF10" s="40"/>
      <c r="AG10" s="76" t="s">
        <v>1</v>
      </c>
      <c r="AH10" s="82">
        <v>0</v>
      </c>
      <c r="AI10" s="40"/>
      <c r="AJ10" s="76" t="s">
        <v>1</v>
      </c>
      <c r="AK10" s="82">
        <v>0</v>
      </c>
      <c r="AL10" s="40"/>
      <c r="AM10" s="76" t="s">
        <v>1</v>
      </c>
      <c r="AN10" s="82">
        <v>0</v>
      </c>
      <c r="AO10" s="40"/>
      <c r="AP10" s="76" t="s">
        <v>1</v>
      </c>
      <c r="AQ10" s="82">
        <v>0</v>
      </c>
      <c r="AR10" s="40"/>
      <c r="AS10" s="76"/>
      <c r="AT10" s="82">
        <v>0</v>
      </c>
      <c r="AU10" s="40"/>
      <c r="AV10" s="76"/>
      <c r="AW10" s="82">
        <v>0</v>
      </c>
      <c r="AX10" s="40"/>
      <c r="AY10" s="76" t="s">
        <v>1</v>
      </c>
      <c r="AZ10" s="82">
        <v>0</v>
      </c>
      <c r="BA10" s="40"/>
      <c r="BB10" s="76" t="s">
        <v>1</v>
      </c>
      <c r="BC10" s="82">
        <v>0</v>
      </c>
      <c r="BD10" s="40"/>
      <c r="BE10" s="76" t="s">
        <v>1</v>
      </c>
      <c r="BF10" s="82">
        <v>0</v>
      </c>
      <c r="BG10" s="40"/>
      <c r="BH10" s="76"/>
      <c r="BI10" s="82">
        <v>0</v>
      </c>
      <c r="BJ10" s="40"/>
      <c r="BK10" s="76"/>
      <c r="BL10" s="82">
        <v>0</v>
      </c>
      <c r="BM10" s="40"/>
      <c r="BN10" s="76"/>
      <c r="BO10" s="82">
        <v>0</v>
      </c>
      <c r="BP10" s="40"/>
      <c r="BQ10" s="78">
        <f t="shared" si="3"/>
        <v>0</v>
      </c>
      <c r="BR10" s="23"/>
      <c r="BS10" s="84">
        <f t="shared" si="4"/>
        <v>0</v>
      </c>
      <c r="BT10" s="23"/>
      <c r="BU10" s="75">
        <v>0</v>
      </c>
      <c r="BV10" s="25"/>
      <c r="BW10" s="152">
        <f t="shared" si="1"/>
        <v>180</v>
      </c>
      <c r="BX10" s="84">
        <f t="shared" si="5"/>
        <v>180</v>
      </c>
      <c r="BY10" s="25"/>
      <c r="BZ10" s="288" t="str">
        <f t="shared" si="2"/>
        <v>Player 7</v>
      </c>
      <c r="CA10" s="288"/>
      <c r="CB10" s="288"/>
      <c r="CC10" s="5"/>
      <c r="CD10" s="131">
        <f t="shared" si="6"/>
        <v>0</v>
      </c>
      <c r="CE10" s="9"/>
      <c r="CF10" s="134"/>
      <c r="CG10" s="9"/>
      <c r="CH10" s="7"/>
      <c r="CI10" s="136">
        <f t="shared" si="7"/>
        <v>180</v>
      </c>
      <c r="CJ10" s="9"/>
    </row>
    <row r="11" spans="1:88" ht="14.5" customHeight="1" thickBot="1" x14ac:dyDescent="0.2">
      <c r="A11" s="3"/>
      <c r="B11" s="236" t="s">
        <v>54</v>
      </c>
      <c r="C11" s="17"/>
      <c r="D11" s="265" t="s">
        <v>11</v>
      </c>
      <c r="E11" s="259" t="s">
        <v>12</v>
      </c>
      <c r="F11" s="259"/>
      <c r="G11" s="259"/>
      <c r="H11" s="36"/>
      <c r="I11" s="207">
        <v>0</v>
      </c>
      <c r="J11" s="177"/>
      <c r="K11" s="40"/>
      <c r="L11" s="207">
        <v>0</v>
      </c>
      <c r="M11" s="177"/>
      <c r="N11" s="40"/>
      <c r="O11" s="207">
        <v>0</v>
      </c>
      <c r="P11" s="177"/>
      <c r="Q11" s="40"/>
      <c r="R11" s="207">
        <v>0</v>
      </c>
      <c r="S11" s="177"/>
      <c r="T11" s="40"/>
      <c r="U11" s="207">
        <v>0</v>
      </c>
      <c r="V11" s="177"/>
      <c r="W11" s="40"/>
      <c r="X11" s="207">
        <v>0</v>
      </c>
      <c r="Y11" s="177"/>
      <c r="Z11" s="40"/>
      <c r="AA11" s="207">
        <v>0</v>
      </c>
      <c r="AB11" s="177"/>
      <c r="AC11" s="40"/>
      <c r="AD11" s="207">
        <v>0</v>
      </c>
      <c r="AE11" s="177"/>
      <c r="AF11" s="40"/>
      <c r="AG11" s="207">
        <v>0</v>
      </c>
      <c r="AH11" s="177"/>
      <c r="AI11" s="40"/>
      <c r="AJ11" s="207">
        <v>0</v>
      </c>
      <c r="AK11" s="177"/>
      <c r="AL11" s="40"/>
      <c r="AM11" s="207">
        <v>0</v>
      </c>
      <c r="AN11" s="177"/>
      <c r="AO11" s="40"/>
      <c r="AP11" s="207">
        <v>0</v>
      </c>
      <c r="AQ11" s="177"/>
      <c r="AR11" s="40"/>
      <c r="AS11" s="207">
        <v>0</v>
      </c>
      <c r="AT11" s="177"/>
      <c r="AU11" s="40"/>
      <c r="AV11" s="207">
        <v>0</v>
      </c>
      <c r="AW11" s="177"/>
      <c r="AX11" s="40"/>
      <c r="AY11" s="207">
        <v>0</v>
      </c>
      <c r="AZ11" s="177"/>
      <c r="BA11" s="40"/>
      <c r="BB11" s="207">
        <v>0</v>
      </c>
      <c r="BC11" s="177"/>
      <c r="BD11" s="40"/>
      <c r="BE11" s="207">
        <v>0</v>
      </c>
      <c r="BF11" s="177"/>
      <c r="BG11" s="40"/>
      <c r="BH11" s="207">
        <v>0</v>
      </c>
      <c r="BI11" s="177"/>
      <c r="BJ11" s="40"/>
      <c r="BK11" s="207">
        <v>0</v>
      </c>
      <c r="BL11" s="177"/>
      <c r="BM11" s="40"/>
      <c r="BN11" s="207">
        <v>0</v>
      </c>
      <c r="BO11" s="177"/>
      <c r="BP11" s="40"/>
      <c r="BQ11" s="259" t="str">
        <f t="shared" ref="BQ11:BQ23" si="8">E11</f>
        <v>Market</v>
      </c>
      <c r="BR11" s="259"/>
      <c r="BS11" s="259"/>
      <c r="BT11" s="34"/>
      <c r="BU11" s="268" t="s">
        <v>11</v>
      </c>
      <c r="BV11" s="17"/>
      <c r="BW11" s="261" t="s">
        <v>13</v>
      </c>
      <c r="BX11" s="262"/>
      <c r="BY11" s="262"/>
      <c r="BZ11" s="262"/>
      <c r="CA11" s="37"/>
      <c r="CB11" s="9"/>
      <c r="CC11" s="9"/>
      <c r="CD11" s="9"/>
      <c r="CE11" s="9"/>
      <c r="CF11" s="9"/>
      <c r="CG11" s="9"/>
      <c r="CH11" s="9"/>
      <c r="CI11" s="9"/>
      <c r="CJ11" s="9"/>
    </row>
    <row r="12" spans="1:88" ht="14.5" customHeight="1" thickBot="1" x14ac:dyDescent="0.2">
      <c r="A12" s="3"/>
      <c r="B12" s="237"/>
      <c r="C12" s="17"/>
      <c r="D12" s="266"/>
      <c r="E12" s="256" t="s">
        <v>43</v>
      </c>
      <c r="F12" s="256"/>
      <c r="G12" s="256"/>
      <c r="H12" s="36"/>
      <c r="I12" s="208">
        <f>I13-SUM(J4:J10)-I11</f>
        <v>2</v>
      </c>
      <c r="J12" s="209"/>
      <c r="K12" s="155"/>
      <c r="L12" s="208">
        <f>L13-SUM(M4:M10)-L11</f>
        <v>2</v>
      </c>
      <c r="M12" s="209"/>
      <c r="N12" s="155"/>
      <c r="O12" s="208">
        <f>O13-SUM(P4:P10)-O11</f>
        <v>2</v>
      </c>
      <c r="P12" s="209"/>
      <c r="Q12" s="155"/>
      <c r="R12" s="208">
        <f>R13-SUM(S4:S10)-R11</f>
        <v>2</v>
      </c>
      <c r="S12" s="209"/>
      <c r="T12" s="155"/>
      <c r="U12" s="208">
        <f>U13-SUM(V4:V10)-U11</f>
        <v>2</v>
      </c>
      <c r="V12" s="209"/>
      <c r="W12" s="155"/>
      <c r="X12" s="208">
        <f>X13-SUM(Y4:Y10)-X11</f>
        <v>2</v>
      </c>
      <c r="Y12" s="209"/>
      <c r="Z12" s="155"/>
      <c r="AA12" s="208">
        <f>AA13-SUM(AB4:AB10)-AA11</f>
        <v>2</v>
      </c>
      <c r="AB12" s="209"/>
      <c r="AC12" s="155"/>
      <c r="AD12" s="208">
        <f>AD13-SUM(AE4:AE10)-AD11</f>
        <v>2</v>
      </c>
      <c r="AE12" s="209"/>
      <c r="AF12" s="155"/>
      <c r="AG12" s="208">
        <f>AG13-SUM(AH4:AH10)-AG11</f>
        <v>2</v>
      </c>
      <c r="AH12" s="209"/>
      <c r="AI12" s="155"/>
      <c r="AJ12" s="208">
        <f>AJ13-SUM(AK4:AK10)-AJ11</f>
        <v>2</v>
      </c>
      <c r="AK12" s="209"/>
      <c r="AL12" s="155"/>
      <c r="AM12" s="208">
        <f>AM13-SUM(AN4:AN10)-AM11</f>
        <v>2</v>
      </c>
      <c r="AN12" s="209"/>
      <c r="AO12" s="155"/>
      <c r="AP12" s="208">
        <f>AP13-SUM(AQ4:AQ10)-AP11</f>
        <v>2</v>
      </c>
      <c r="AQ12" s="209"/>
      <c r="AR12" s="155"/>
      <c r="AS12" s="208">
        <f>AS13-SUM(AT4:AT10)-AS11</f>
        <v>2</v>
      </c>
      <c r="AT12" s="209"/>
      <c r="AU12" s="155"/>
      <c r="AV12" s="208">
        <f>AV13-SUM(AW4:AW10)-AV11</f>
        <v>2</v>
      </c>
      <c r="AW12" s="209"/>
      <c r="AX12" s="155"/>
      <c r="AY12" s="208">
        <f>AY13-SUM(AZ4:AZ10)-AY11</f>
        <v>2</v>
      </c>
      <c r="AZ12" s="209"/>
      <c r="BA12" s="155"/>
      <c r="BB12" s="208">
        <f>BB13-SUM(BC4:BC10)-BB11</f>
        <v>2</v>
      </c>
      <c r="BC12" s="209"/>
      <c r="BD12" s="155"/>
      <c r="BE12" s="208">
        <f>BE13-SUM(BF4:BF10)-BE11</f>
        <v>2</v>
      </c>
      <c r="BF12" s="209"/>
      <c r="BG12" s="155"/>
      <c r="BH12" s="208">
        <f>BH13-SUM(BI4:BI10)-BH11</f>
        <v>2</v>
      </c>
      <c r="BI12" s="209"/>
      <c r="BJ12" s="155"/>
      <c r="BK12" s="208">
        <f>BK13-SUM(BL4:BL10)-BK11</f>
        <v>2</v>
      </c>
      <c r="BL12" s="209"/>
      <c r="BM12" s="25"/>
      <c r="BN12" s="208">
        <f>BN13-SUM(BO4:BO10)-BN11</f>
        <v>2</v>
      </c>
      <c r="BO12" s="209"/>
      <c r="BP12" s="25"/>
      <c r="BQ12" s="258" t="str">
        <f t="shared" si="8"/>
        <v>Company</v>
      </c>
      <c r="BR12" s="258"/>
      <c r="BS12" s="258"/>
      <c r="BT12" s="34"/>
      <c r="BU12" s="268"/>
      <c r="BV12" s="17"/>
      <c r="BW12" s="8" t="s">
        <v>14</v>
      </c>
      <c r="BX12" s="8" t="s">
        <v>15</v>
      </c>
      <c r="BY12" s="8"/>
      <c r="BZ12" s="8" t="s">
        <v>36</v>
      </c>
      <c r="CA12" s="11"/>
      <c r="CB12" s="137" t="s">
        <v>77</v>
      </c>
      <c r="CC12" s="138"/>
      <c r="CD12" s="138"/>
      <c r="CE12" s="138"/>
      <c r="CF12" s="139"/>
      <c r="CG12" s="9"/>
      <c r="CH12" s="9"/>
      <c r="CI12" s="9"/>
      <c r="CJ12" s="9"/>
    </row>
    <row r="13" spans="1:88" ht="14.5" customHeight="1" thickBot="1" x14ac:dyDescent="0.2">
      <c r="A13" s="3"/>
      <c r="B13" s="237"/>
      <c r="C13" s="17"/>
      <c r="D13" s="267"/>
      <c r="E13" s="260" t="s">
        <v>71</v>
      </c>
      <c r="F13" s="260"/>
      <c r="G13" s="260"/>
      <c r="H13" s="16"/>
      <c r="I13" s="242">
        <v>2</v>
      </c>
      <c r="J13" s="243"/>
      <c r="K13" s="41"/>
      <c r="L13" s="242">
        <v>2</v>
      </c>
      <c r="M13" s="243"/>
      <c r="N13" s="41"/>
      <c r="O13" s="242">
        <v>2</v>
      </c>
      <c r="P13" s="243"/>
      <c r="Q13" s="41"/>
      <c r="R13" s="242">
        <v>2</v>
      </c>
      <c r="S13" s="243"/>
      <c r="T13" s="41"/>
      <c r="U13" s="242">
        <v>2</v>
      </c>
      <c r="V13" s="243"/>
      <c r="W13" s="41"/>
      <c r="X13" s="242">
        <v>2</v>
      </c>
      <c r="Y13" s="243"/>
      <c r="Z13" s="41"/>
      <c r="AA13" s="242">
        <v>2</v>
      </c>
      <c r="AB13" s="243"/>
      <c r="AC13" s="41"/>
      <c r="AD13" s="242">
        <v>2</v>
      </c>
      <c r="AE13" s="243"/>
      <c r="AF13" s="41"/>
      <c r="AG13" s="242">
        <v>2</v>
      </c>
      <c r="AH13" s="243"/>
      <c r="AI13" s="41"/>
      <c r="AJ13" s="242">
        <v>2</v>
      </c>
      <c r="AK13" s="243"/>
      <c r="AL13" s="41"/>
      <c r="AM13" s="242">
        <v>2</v>
      </c>
      <c r="AN13" s="243"/>
      <c r="AO13" s="41"/>
      <c r="AP13" s="242">
        <v>2</v>
      </c>
      <c r="AQ13" s="243"/>
      <c r="AR13" s="41"/>
      <c r="AS13" s="242">
        <v>2</v>
      </c>
      <c r="AT13" s="243"/>
      <c r="AU13" s="41"/>
      <c r="AV13" s="242">
        <v>2</v>
      </c>
      <c r="AW13" s="243"/>
      <c r="AX13" s="41"/>
      <c r="AY13" s="242">
        <v>2</v>
      </c>
      <c r="AZ13" s="243"/>
      <c r="BA13" s="41"/>
      <c r="BB13" s="242">
        <v>2</v>
      </c>
      <c r="BC13" s="243"/>
      <c r="BD13" s="41"/>
      <c r="BE13" s="242">
        <v>2</v>
      </c>
      <c r="BF13" s="243"/>
      <c r="BG13" s="41"/>
      <c r="BH13" s="242">
        <v>2</v>
      </c>
      <c r="BI13" s="243"/>
      <c r="BJ13" s="41"/>
      <c r="BK13" s="242">
        <v>2</v>
      </c>
      <c r="BL13" s="243"/>
      <c r="BM13" s="41"/>
      <c r="BN13" s="242">
        <v>2</v>
      </c>
      <c r="BO13" s="243"/>
      <c r="BP13" s="41"/>
      <c r="BQ13" s="260" t="str">
        <f t="shared" si="8"/>
        <v># Share Company</v>
      </c>
      <c r="BR13" s="260"/>
      <c r="BS13" s="260"/>
      <c r="BT13" s="33"/>
      <c r="BU13" s="269"/>
      <c r="BV13" s="17"/>
      <c r="BW13" s="85">
        <v>2</v>
      </c>
      <c r="BX13" s="86">
        <v>100</v>
      </c>
      <c r="BY13" s="86"/>
      <c r="BZ13" s="65" t="s">
        <v>49</v>
      </c>
      <c r="CA13" s="11"/>
      <c r="CB13" s="156">
        <f>SUM($I$15:$BO$15)</f>
        <v>0</v>
      </c>
      <c r="CC13" s="25"/>
      <c r="CD13" s="221" t="s">
        <v>78</v>
      </c>
      <c r="CE13" s="221"/>
      <c r="CF13" s="222"/>
      <c r="CG13" s="9"/>
      <c r="CH13" s="9"/>
      <c r="CI13" s="9"/>
      <c r="CJ13" s="9"/>
    </row>
    <row r="14" spans="1:88" ht="14.5" customHeight="1" thickBot="1" x14ac:dyDescent="0.2">
      <c r="A14" s="3"/>
      <c r="B14" s="237"/>
      <c r="C14" s="17"/>
      <c r="D14" s="148" t="s">
        <v>16</v>
      </c>
      <c r="E14" s="263" t="s">
        <v>17</v>
      </c>
      <c r="F14" s="263"/>
      <c r="G14" s="263"/>
      <c r="H14" s="141"/>
      <c r="I14" s="200"/>
      <c r="J14" s="201"/>
      <c r="K14" s="141"/>
      <c r="L14" s="200"/>
      <c r="M14" s="201"/>
      <c r="N14" s="141"/>
      <c r="O14" s="200"/>
      <c r="P14" s="201"/>
      <c r="Q14" s="141"/>
      <c r="R14" s="200"/>
      <c r="S14" s="201"/>
      <c r="T14" s="141"/>
      <c r="U14" s="200"/>
      <c r="V14" s="201"/>
      <c r="W14" s="141"/>
      <c r="X14" s="200"/>
      <c r="Y14" s="201"/>
      <c r="Z14" s="141"/>
      <c r="AA14" s="200"/>
      <c r="AB14" s="201"/>
      <c r="AC14" s="141"/>
      <c r="AD14" s="200"/>
      <c r="AE14" s="201"/>
      <c r="AF14" s="141"/>
      <c r="AG14" s="200"/>
      <c r="AH14" s="201"/>
      <c r="AI14" s="141"/>
      <c r="AJ14" s="200"/>
      <c r="AK14" s="201"/>
      <c r="AL14" s="141"/>
      <c r="AM14" s="200"/>
      <c r="AN14" s="201"/>
      <c r="AO14" s="141"/>
      <c r="AP14" s="200"/>
      <c r="AQ14" s="201"/>
      <c r="AR14" s="141"/>
      <c r="AS14" s="200"/>
      <c r="AT14" s="201"/>
      <c r="AU14" s="141"/>
      <c r="AV14" s="200"/>
      <c r="AW14" s="201"/>
      <c r="AX14" s="141"/>
      <c r="AY14" s="200"/>
      <c r="AZ14" s="201"/>
      <c r="BA14" s="141"/>
      <c r="BB14" s="200"/>
      <c r="BC14" s="201"/>
      <c r="BD14" s="141"/>
      <c r="BE14" s="200"/>
      <c r="BF14" s="201"/>
      <c r="BG14" s="141"/>
      <c r="BH14" s="200"/>
      <c r="BI14" s="201"/>
      <c r="BJ14" s="141"/>
      <c r="BK14" s="200"/>
      <c r="BL14" s="201"/>
      <c r="BM14" s="141"/>
      <c r="BN14" s="200"/>
      <c r="BO14" s="201"/>
      <c r="BP14" s="141"/>
      <c r="BQ14" s="263" t="str">
        <f t="shared" si="8"/>
        <v>Market</v>
      </c>
      <c r="BR14" s="263"/>
      <c r="BS14" s="263"/>
      <c r="BT14" s="34"/>
      <c r="BU14" s="64" t="s">
        <v>16</v>
      </c>
      <c r="BV14" s="17"/>
      <c r="BW14" s="87" t="s">
        <v>50</v>
      </c>
      <c r="BX14" s="88">
        <v>100</v>
      </c>
      <c r="BY14" s="88"/>
      <c r="BZ14" s="89" t="s">
        <v>26</v>
      </c>
      <c r="CA14" s="11"/>
      <c r="CB14" s="157">
        <f>IF(CB13&lt;=0,5,5+5*INT((CB13-1)/5))</f>
        <v>5</v>
      </c>
      <c r="CC14" s="94"/>
      <c r="CD14" s="223" t="s">
        <v>79</v>
      </c>
      <c r="CE14" s="223"/>
      <c r="CF14" s="224"/>
      <c r="CG14" s="9"/>
      <c r="CH14" s="9"/>
      <c r="CI14" s="9"/>
      <c r="CJ14" s="9"/>
    </row>
    <row r="15" spans="1:88" ht="14.5" customHeight="1" thickBot="1" x14ac:dyDescent="0.2">
      <c r="A15" s="3"/>
      <c r="B15" s="237"/>
      <c r="C15" s="17"/>
      <c r="D15" s="148" t="s">
        <v>72</v>
      </c>
      <c r="E15" s="257" t="s">
        <v>76</v>
      </c>
      <c r="F15" s="257"/>
      <c r="G15" s="257"/>
      <c r="H15" s="32"/>
      <c r="I15" s="202"/>
      <c r="J15" s="203"/>
      <c r="K15" s="92"/>
      <c r="L15" s="202"/>
      <c r="M15" s="203"/>
      <c r="N15" s="92"/>
      <c r="O15" s="202"/>
      <c r="P15" s="203"/>
      <c r="Q15" s="92"/>
      <c r="R15" s="202"/>
      <c r="S15" s="203"/>
      <c r="T15" s="92"/>
      <c r="U15" s="202"/>
      <c r="V15" s="203"/>
      <c r="W15" s="92"/>
      <c r="X15" s="202"/>
      <c r="Y15" s="203"/>
      <c r="Z15" s="92"/>
      <c r="AA15" s="202"/>
      <c r="AB15" s="203"/>
      <c r="AC15" s="92"/>
      <c r="AD15" s="202"/>
      <c r="AE15" s="203"/>
      <c r="AF15" s="92"/>
      <c r="AG15" s="202"/>
      <c r="AH15" s="203"/>
      <c r="AI15" s="92"/>
      <c r="AJ15" s="202"/>
      <c r="AK15" s="203"/>
      <c r="AL15" s="92"/>
      <c r="AM15" s="202"/>
      <c r="AN15" s="203"/>
      <c r="AO15" s="92"/>
      <c r="AP15" s="202"/>
      <c r="AQ15" s="203"/>
      <c r="AR15" s="92"/>
      <c r="AS15" s="202"/>
      <c r="AT15" s="203"/>
      <c r="AU15" s="92"/>
      <c r="AV15" s="202"/>
      <c r="AW15" s="203"/>
      <c r="AX15" s="92"/>
      <c r="AY15" s="202"/>
      <c r="AZ15" s="203"/>
      <c r="BA15" s="92"/>
      <c r="BB15" s="202"/>
      <c r="BC15" s="203"/>
      <c r="BD15" s="92"/>
      <c r="BE15" s="202"/>
      <c r="BF15" s="203"/>
      <c r="BG15" s="92"/>
      <c r="BH15" s="202"/>
      <c r="BI15" s="203"/>
      <c r="BJ15" s="92"/>
      <c r="BK15" s="202"/>
      <c r="BL15" s="203"/>
      <c r="BM15" s="92"/>
      <c r="BN15" s="202"/>
      <c r="BO15" s="203"/>
      <c r="BP15" s="92"/>
      <c r="BQ15" s="257" t="str">
        <f t="shared" si="8"/>
        <v>Outstanding Loans</v>
      </c>
      <c r="BR15" s="257"/>
      <c r="BS15" s="257"/>
      <c r="BT15" s="9"/>
      <c r="BU15" s="64" t="s">
        <v>72</v>
      </c>
      <c r="BV15" s="9"/>
      <c r="BW15" s="85">
        <v>3</v>
      </c>
      <c r="BX15" s="86">
        <v>250</v>
      </c>
      <c r="BY15" s="86"/>
      <c r="BZ15" s="90" t="s">
        <v>51</v>
      </c>
      <c r="CA15" s="11"/>
      <c r="CB15" s="96">
        <v>5</v>
      </c>
      <c r="CC15" s="93"/>
      <c r="CD15" s="95" t="s">
        <v>80</v>
      </c>
      <c r="CE15" s="95"/>
      <c r="CF15" s="140"/>
      <c r="CG15" s="9"/>
      <c r="CH15" s="9"/>
      <c r="CI15" s="9"/>
      <c r="CJ15" s="9"/>
    </row>
    <row r="16" spans="1:88" ht="14.5" customHeight="1" thickBot="1" x14ac:dyDescent="0.2">
      <c r="A16" s="3"/>
      <c r="B16" s="227">
        <v>1817</v>
      </c>
      <c r="C16" s="228"/>
      <c r="D16" s="229"/>
      <c r="E16" s="255" t="s">
        <v>70</v>
      </c>
      <c r="F16" s="255"/>
      <c r="G16" s="255"/>
      <c r="H16" s="32"/>
      <c r="I16" s="204"/>
      <c r="J16" s="205"/>
      <c r="K16" s="32"/>
      <c r="L16" s="204"/>
      <c r="M16" s="205"/>
      <c r="N16" s="32"/>
      <c r="O16" s="204"/>
      <c r="P16" s="205"/>
      <c r="Q16" s="32"/>
      <c r="R16" s="204"/>
      <c r="S16" s="205"/>
      <c r="T16" s="32"/>
      <c r="U16" s="204"/>
      <c r="V16" s="205"/>
      <c r="W16" s="32"/>
      <c r="X16" s="204"/>
      <c r="Y16" s="205"/>
      <c r="Z16" s="32"/>
      <c r="AA16" s="204"/>
      <c r="AB16" s="205"/>
      <c r="AC16" s="32"/>
      <c r="AD16" s="204"/>
      <c r="AE16" s="205"/>
      <c r="AF16" s="32"/>
      <c r="AG16" s="204"/>
      <c r="AH16" s="205"/>
      <c r="AI16" s="32"/>
      <c r="AJ16" s="204"/>
      <c r="AK16" s="205"/>
      <c r="AL16" s="32"/>
      <c r="AM16" s="204"/>
      <c r="AN16" s="205"/>
      <c r="AO16" s="32"/>
      <c r="AP16" s="204"/>
      <c r="AQ16" s="205"/>
      <c r="AR16" s="32"/>
      <c r="AS16" s="204"/>
      <c r="AT16" s="205"/>
      <c r="AU16" s="32"/>
      <c r="AV16" s="204"/>
      <c r="AW16" s="205"/>
      <c r="AX16" s="32"/>
      <c r="AY16" s="204"/>
      <c r="AZ16" s="205"/>
      <c r="BA16" s="32"/>
      <c r="BB16" s="204"/>
      <c r="BC16" s="205"/>
      <c r="BD16" s="32"/>
      <c r="BE16" s="204"/>
      <c r="BF16" s="205"/>
      <c r="BG16" s="32"/>
      <c r="BH16" s="204"/>
      <c r="BI16" s="205"/>
      <c r="BJ16" s="32"/>
      <c r="BK16" s="204"/>
      <c r="BL16" s="205"/>
      <c r="BM16" s="32"/>
      <c r="BN16" s="204"/>
      <c r="BO16" s="205"/>
      <c r="BP16" s="32"/>
      <c r="BQ16" s="255" t="str">
        <f t="shared" si="8"/>
        <v>Privates Owned</v>
      </c>
      <c r="BR16" s="255"/>
      <c r="BS16" s="255"/>
      <c r="BT16" s="9"/>
      <c r="BU16" s="10"/>
      <c r="BV16" s="10"/>
      <c r="BW16" s="87">
        <v>4</v>
      </c>
      <c r="BX16" s="88">
        <v>400</v>
      </c>
      <c r="BY16" s="88"/>
      <c r="BZ16" s="89" t="s">
        <v>52</v>
      </c>
      <c r="CA16" s="11"/>
      <c r="CB16" s="9"/>
      <c r="CC16" s="9"/>
      <c r="CD16" s="9"/>
      <c r="CE16" s="9"/>
      <c r="CF16" s="9"/>
      <c r="CG16" s="9"/>
      <c r="CH16" s="9"/>
      <c r="CI16" s="9"/>
      <c r="CJ16" s="9"/>
    </row>
    <row r="17" spans="1:88" ht="14.5" customHeight="1" thickBot="1" x14ac:dyDescent="0.2">
      <c r="A17" s="3"/>
      <c r="B17" s="230"/>
      <c r="C17" s="231"/>
      <c r="D17" s="232"/>
      <c r="E17" s="197" t="s">
        <v>97</v>
      </c>
      <c r="F17" s="197"/>
      <c r="G17" s="197"/>
      <c r="H17" s="32"/>
      <c r="I17" s="197"/>
      <c r="J17" s="197"/>
      <c r="K17" s="32"/>
      <c r="L17" s="197"/>
      <c r="M17" s="197"/>
      <c r="N17" s="32"/>
      <c r="O17" s="197"/>
      <c r="P17" s="197"/>
      <c r="Q17" s="32"/>
      <c r="R17" s="197"/>
      <c r="S17" s="197"/>
      <c r="T17" s="32"/>
      <c r="U17" s="197"/>
      <c r="V17" s="197"/>
      <c r="W17" s="32"/>
      <c r="X17" s="197"/>
      <c r="Y17" s="197"/>
      <c r="Z17" s="32"/>
      <c r="AA17" s="197"/>
      <c r="AB17" s="197"/>
      <c r="AC17" s="32"/>
      <c r="AD17" s="197"/>
      <c r="AE17" s="197"/>
      <c r="AF17" s="32"/>
      <c r="AG17" s="197"/>
      <c r="AH17" s="197"/>
      <c r="AI17" s="32"/>
      <c r="AJ17" s="197"/>
      <c r="AK17" s="197"/>
      <c r="AL17" s="32"/>
      <c r="AM17" s="197"/>
      <c r="AN17" s="197"/>
      <c r="AO17" s="32"/>
      <c r="AP17" s="197"/>
      <c r="AQ17" s="197"/>
      <c r="AR17" s="32"/>
      <c r="AS17" s="197"/>
      <c r="AT17" s="197"/>
      <c r="AU17" s="32"/>
      <c r="AV17" s="197"/>
      <c r="AW17" s="197"/>
      <c r="AX17" s="32"/>
      <c r="AY17" s="197"/>
      <c r="AZ17" s="197"/>
      <c r="BA17" s="32"/>
      <c r="BB17" s="197"/>
      <c r="BC17" s="197"/>
      <c r="BD17" s="32"/>
      <c r="BE17" s="197"/>
      <c r="BF17" s="197"/>
      <c r="BG17" s="32"/>
      <c r="BH17" s="197"/>
      <c r="BI17" s="197"/>
      <c r="BJ17" s="32"/>
      <c r="BK17" s="197"/>
      <c r="BL17" s="197"/>
      <c r="BM17" s="32"/>
      <c r="BN17" s="197"/>
      <c r="BO17" s="197"/>
      <c r="BP17" s="32"/>
      <c r="BQ17" s="197" t="str">
        <f>E17</f>
        <v>Trains Owned</v>
      </c>
      <c r="BR17" s="197"/>
      <c r="BS17" s="197"/>
      <c r="BT17" s="9"/>
      <c r="BU17" s="10"/>
      <c r="BV17" s="10"/>
      <c r="BW17" s="85">
        <v>5</v>
      </c>
      <c r="BX17" s="86">
        <v>600</v>
      </c>
      <c r="BY17" s="86"/>
      <c r="BZ17" s="90" t="s">
        <v>45</v>
      </c>
      <c r="CA17" s="11"/>
      <c r="CB17" s="9"/>
      <c r="CC17" s="9"/>
      <c r="CD17" s="9"/>
      <c r="CE17" s="9"/>
      <c r="CF17" s="9"/>
      <c r="CG17" s="9"/>
      <c r="CH17" s="9"/>
      <c r="CI17" s="9"/>
      <c r="CJ17" s="9"/>
    </row>
    <row r="18" spans="1:88" ht="14.5" customHeight="1" thickBot="1" x14ac:dyDescent="0.2">
      <c r="A18" s="3"/>
      <c r="B18" s="230"/>
      <c r="C18" s="231"/>
      <c r="D18" s="232"/>
      <c r="E18" s="198" t="s">
        <v>102</v>
      </c>
      <c r="F18" s="198"/>
      <c r="G18" s="198"/>
      <c r="H18" s="32"/>
      <c r="I18" s="198"/>
      <c r="J18" s="198"/>
      <c r="K18" s="32"/>
      <c r="L18" s="198"/>
      <c r="M18" s="198"/>
      <c r="N18" s="32"/>
      <c r="O18" s="198"/>
      <c r="P18" s="198"/>
      <c r="Q18" s="32"/>
      <c r="R18" s="198"/>
      <c r="S18" s="198"/>
      <c r="T18" s="32"/>
      <c r="U18" s="198"/>
      <c r="V18" s="198"/>
      <c r="W18" s="32"/>
      <c r="X18" s="198"/>
      <c r="Y18" s="198"/>
      <c r="Z18" s="32"/>
      <c r="AA18" s="198"/>
      <c r="AB18" s="198"/>
      <c r="AC18" s="32"/>
      <c r="AD18" s="198"/>
      <c r="AE18" s="198"/>
      <c r="AF18" s="32"/>
      <c r="AG18" s="198"/>
      <c r="AH18" s="198"/>
      <c r="AI18" s="32"/>
      <c r="AJ18" s="198"/>
      <c r="AK18" s="198"/>
      <c r="AL18" s="32"/>
      <c r="AM18" s="198"/>
      <c r="AN18" s="198"/>
      <c r="AO18" s="32"/>
      <c r="AP18" s="198"/>
      <c r="AQ18" s="198"/>
      <c r="AR18" s="32"/>
      <c r="AS18" s="198"/>
      <c r="AT18" s="198"/>
      <c r="AU18" s="32"/>
      <c r="AV18" s="198"/>
      <c r="AW18" s="198"/>
      <c r="AX18" s="32"/>
      <c r="AY18" s="198"/>
      <c r="AZ18" s="198"/>
      <c r="BA18" s="32"/>
      <c r="BB18" s="198"/>
      <c r="BC18" s="198"/>
      <c r="BD18" s="32"/>
      <c r="BE18" s="198"/>
      <c r="BF18" s="198"/>
      <c r="BG18" s="32"/>
      <c r="BH18" s="198"/>
      <c r="BI18" s="198"/>
      <c r="BJ18" s="32"/>
      <c r="BK18" s="198"/>
      <c r="BL18" s="198"/>
      <c r="BM18" s="32"/>
      <c r="BN18" s="198"/>
      <c r="BO18" s="198"/>
      <c r="BP18" s="32"/>
      <c r="BQ18" s="198" t="str">
        <f>E18</f>
        <v>Station Tokens</v>
      </c>
      <c r="BR18" s="198"/>
      <c r="BS18" s="198"/>
      <c r="BT18" s="9"/>
      <c r="BU18" s="10"/>
      <c r="BV18" s="10"/>
      <c r="BW18" s="87">
        <v>6</v>
      </c>
      <c r="BX18" s="88">
        <v>750</v>
      </c>
      <c r="BY18" s="88"/>
      <c r="BZ18" s="89" t="s">
        <v>26</v>
      </c>
      <c r="CA18" s="11"/>
      <c r="CB18" s="9"/>
      <c r="CC18" s="9"/>
      <c r="CD18" s="9"/>
      <c r="CE18" s="9"/>
      <c r="CF18" s="9"/>
      <c r="CG18" s="9"/>
      <c r="CH18" s="9"/>
      <c r="CI18" s="9"/>
      <c r="CJ18" s="9"/>
    </row>
    <row r="19" spans="1:88" ht="14.5" customHeight="1" x14ac:dyDescent="0.15">
      <c r="A19" s="3"/>
      <c r="B19" s="230"/>
      <c r="C19" s="231"/>
      <c r="D19" s="232"/>
      <c r="E19" s="240" t="s">
        <v>18</v>
      </c>
      <c r="F19" s="240"/>
      <c r="G19" s="240"/>
      <c r="H19" s="19"/>
      <c r="I19" s="199">
        <v>0</v>
      </c>
      <c r="J19" s="192"/>
      <c r="K19" s="22"/>
      <c r="L19" s="199">
        <v>0</v>
      </c>
      <c r="M19" s="192"/>
      <c r="N19" s="22"/>
      <c r="O19" s="199">
        <v>0</v>
      </c>
      <c r="P19" s="192"/>
      <c r="Q19" s="22"/>
      <c r="R19" s="199">
        <v>0</v>
      </c>
      <c r="S19" s="192"/>
      <c r="T19" s="22"/>
      <c r="U19" s="199">
        <v>0</v>
      </c>
      <c r="V19" s="192"/>
      <c r="W19" s="22"/>
      <c r="X19" s="199">
        <v>0</v>
      </c>
      <c r="Y19" s="192"/>
      <c r="Z19" s="22"/>
      <c r="AA19" s="199">
        <v>0</v>
      </c>
      <c r="AB19" s="192"/>
      <c r="AC19" s="22"/>
      <c r="AD19" s="199">
        <v>0</v>
      </c>
      <c r="AE19" s="192"/>
      <c r="AF19" s="22"/>
      <c r="AG19" s="199">
        <v>0</v>
      </c>
      <c r="AH19" s="192"/>
      <c r="AI19" s="22"/>
      <c r="AJ19" s="199">
        <v>0</v>
      </c>
      <c r="AK19" s="192"/>
      <c r="AL19" s="22"/>
      <c r="AM19" s="199">
        <v>0</v>
      </c>
      <c r="AN19" s="192"/>
      <c r="AO19" s="22"/>
      <c r="AP19" s="199">
        <v>0</v>
      </c>
      <c r="AQ19" s="192"/>
      <c r="AR19" s="22"/>
      <c r="AS19" s="199">
        <v>0</v>
      </c>
      <c r="AT19" s="192"/>
      <c r="AU19" s="22"/>
      <c r="AV19" s="199">
        <v>0</v>
      </c>
      <c r="AW19" s="192"/>
      <c r="AX19" s="22"/>
      <c r="AY19" s="199">
        <v>0</v>
      </c>
      <c r="AZ19" s="192"/>
      <c r="BA19" s="22"/>
      <c r="BB19" s="199">
        <v>0</v>
      </c>
      <c r="BC19" s="192"/>
      <c r="BD19" s="22"/>
      <c r="BE19" s="199">
        <v>0</v>
      </c>
      <c r="BF19" s="192"/>
      <c r="BG19" s="22"/>
      <c r="BH19" s="199">
        <v>0</v>
      </c>
      <c r="BI19" s="192"/>
      <c r="BJ19" s="22"/>
      <c r="BK19" s="199">
        <v>0</v>
      </c>
      <c r="BL19" s="192"/>
      <c r="BM19" s="22"/>
      <c r="BN19" s="199">
        <v>0</v>
      </c>
      <c r="BO19" s="192"/>
      <c r="BP19" s="22"/>
      <c r="BQ19" s="240" t="str">
        <f t="shared" si="8"/>
        <v>Begin Funds</v>
      </c>
      <c r="BR19" s="240"/>
      <c r="BS19" s="240"/>
      <c r="BT19" s="9"/>
      <c r="BU19" s="10"/>
      <c r="BV19" s="10"/>
      <c r="BW19" s="85">
        <v>7</v>
      </c>
      <c r="BX19" s="86">
        <v>900</v>
      </c>
      <c r="BY19" s="86"/>
      <c r="BZ19" s="91" t="s">
        <v>27</v>
      </c>
      <c r="CA19" s="10"/>
      <c r="CB19" s="10"/>
      <c r="CC19" s="9"/>
      <c r="CD19" s="9"/>
      <c r="CE19" s="9"/>
      <c r="CF19" s="9"/>
      <c r="CG19" s="9"/>
      <c r="CH19" s="9"/>
      <c r="CI19" s="9"/>
      <c r="CJ19" s="9"/>
    </row>
    <row r="20" spans="1:88" ht="14.5" customHeight="1" thickBot="1" x14ac:dyDescent="0.2">
      <c r="A20" s="3"/>
      <c r="B20" s="233"/>
      <c r="C20" s="234"/>
      <c r="D20" s="235"/>
      <c r="E20" s="241" t="s">
        <v>25</v>
      </c>
      <c r="F20" s="241"/>
      <c r="G20" s="241"/>
      <c r="H20" s="19"/>
      <c r="I20" s="193">
        <f>I39</f>
        <v>0</v>
      </c>
      <c r="J20" s="194"/>
      <c r="K20" s="154"/>
      <c r="L20" s="193">
        <f>L39</f>
        <v>0</v>
      </c>
      <c r="M20" s="194"/>
      <c r="N20" s="154"/>
      <c r="O20" s="193">
        <f>O39</f>
        <v>0</v>
      </c>
      <c r="P20" s="194"/>
      <c r="Q20" s="154"/>
      <c r="R20" s="193">
        <f>R39</f>
        <v>0</v>
      </c>
      <c r="S20" s="194"/>
      <c r="T20" s="154"/>
      <c r="U20" s="193">
        <f>U39</f>
        <v>0</v>
      </c>
      <c r="V20" s="194"/>
      <c r="W20" s="154"/>
      <c r="X20" s="193">
        <f>X39</f>
        <v>0</v>
      </c>
      <c r="Y20" s="194"/>
      <c r="Z20" s="154"/>
      <c r="AA20" s="193">
        <f>AA39</f>
        <v>0</v>
      </c>
      <c r="AB20" s="194"/>
      <c r="AC20" s="154"/>
      <c r="AD20" s="193">
        <f>AD39</f>
        <v>0</v>
      </c>
      <c r="AE20" s="194"/>
      <c r="AF20" s="154"/>
      <c r="AG20" s="193">
        <f>AG39</f>
        <v>0</v>
      </c>
      <c r="AH20" s="194"/>
      <c r="AI20" s="154"/>
      <c r="AJ20" s="193">
        <f>AJ39</f>
        <v>0</v>
      </c>
      <c r="AK20" s="194"/>
      <c r="AL20" s="154"/>
      <c r="AM20" s="193">
        <f>AM39</f>
        <v>0</v>
      </c>
      <c r="AN20" s="194"/>
      <c r="AO20" s="154"/>
      <c r="AP20" s="193">
        <f>AP39</f>
        <v>0</v>
      </c>
      <c r="AQ20" s="194"/>
      <c r="AR20" s="154"/>
      <c r="AS20" s="193">
        <f>AS39</f>
        <v>0</v>
      </c>
      <c r="AT20" s="194"/>
      <c r="AU20" s="154"/>
      <c r="AV20" s="193">
        <f>AV39</f>
        <v>0</v>
      </c>
      <c r="AW20" s="194"/>
      <c r="AX20" s="154"/>
      <c r="AY20" s="193">
        <f>AY39</f>
        <v>0</v>
      </c>
      <c r="AZ20" s="194"/>
      <c r="BA20" s="154"/>
      <c r="BB20" s="193">
        <f>BB39</f>
        <v>0</v>
      </c>
      <c r="BC20" s="194"/>
      <c r="BD20" s="154"/>
      <c r="BE20" s="193">
        <f>BE39</f>
        <v>0</v>
      </c>
      <c r="BF20" s="194"/>
      <c r="BG20" s="154"/>
      <c r="BH20" s="193">
        <f>BH39</f>
        <v>0</v>
      </c>
      <c r="BI20" s="194"/>
      <c r="BJ20" s="154"/>
      <c r="BK20" s="193">
        <f>BK39</f>
        <v>0</v>
      </c>
      <c r="BL20" s="194"/>
      <c r="BM20" s="22"/>
      <c r="BN20" s="193">
        <f>BN39</f>
        <v>0</v>
      </c>
      <c r="BO20" s="194"/>
      <c r="BP20" s="22"/>
      <c r="BQ20" s="214" t="str">
        <f t="shared" si="8"/>
        <v>Costs/Profits</v>
      </c>
      <c r="BR20" s="214"/>
      <c r="BS20" s="214"/>
      <c r="BT20" s="9"/>
      <c r="BU20" s="10"/>
      <c r="BV20" s="10"/>
      <c r="BW20" s="87">
        <v>8</v>
      </c>
      <c r="BX20" s="88">
        <v>1100</v>
      </c>
      <c r="BY20" s="88"/>
      <c r="BZ20" s="153" t="s">
        <v>49</v>
      </c>
      <c r="CA20" s="11"/>
      <c r="CB20" s="9"/>
      <c r="CC20" s="9"/>
      <c r="CD20" s="9"/>
      <c r="CE20" s="9"/>
      <c r="CF20" s="9"/>
      <c r="CG20" s="9"/>
      <c r="CH20" s="9"/>
      <c r="CI20" s="9"/>
      <c r="CJ20" s="9"/>
    </row>
    <row r="21" spans="1:88" ht="14.5" customHeight="1" thickBot="1" x14ac:dyDescent="0.2">
      <c r="A21" s="3"/>
      <c r="B21" s="270" t="s">
        <v>28</v>
      </c>
      <c r="C21" s="271"/>
      <c r="D21" s="272"/>
      <c r="E21" s="240" t="s">
        <v>32</v>
      </c>
      <c r="F21" s="240"/>
      <c r="G21" s="240"/>
      <c r="H21" s="19"/>
      <c r="I21" s="189">
        <f>I19+I20</f>
        <v>0</v>
      </c>
      <c r="J21" s="190"/>
      <c r="K21" s="154"/>
      <c r="L21" s="189">
        <f>L19+L20</f>
        <v>0</v>
      </c>
      <c r="M21" s="190"/>
      <c r="N21" s="154"/>
      <c r="O21" s="189">
        <f>O19+O20</f>
        <v>0</v>
      </c>
      <c r="P21" s="190"/>
      <c r="Q21" s="154"/>
      <c r="R21" s="189">
        <f>R19+R20</f>
        <v>0</v>
      </c>
      <c r="S21" s="190"/>
      <c r="T21" s="154"/>
      <c r="U21" s="189">
        <f>U19+U20</f>
        <v>0</v>
      </c>
      <c r="V21" s="190"/>
      <c r="W21" s="154"/>
      <c r="X21" s="189">
        <f>X19+X20</f>
        <v>0</v>
      </c>
      <c r="Y21" s="190"/>
      <c r="Z21" s="154"/>
      <c r="AA21" s="189">
        <f>AA19+AA20</f>
        <v>0</v>
      </c>
      <c r="AB21" s="190"/>
      <c r="AC21" s="154"/>
      <c r="AD21" s="189">
        <f>AD19+AD20</f>
        <v>0</v>
      </c>
      <c r="AE21" s="190"/>
      <c r="AF21" s="154"/>
      <c r="AG21" s="189">
        <f>AG19+AG20</f>
        <v>0</v>
      </c>
      <c r="AH21" s="190"/>
      <c r="AI21" s="154"/>
      <c r="AJ21" s="189">
        <f>AJ19+AJ20</f>
        <v>0</v>
      </c>
      <c r="AK21" s="190"/>
      <c r="AL21" s="154"/>
      <c r="AM21" s="189">
        <f>AM19+AM20</f>
        <v>0</v>
      </c>
      <c r="AN21" s="190"/>
      <c r="AO21" s="154"/>
      <c r="AP21" s="189">
        <f>AP19+AP20</f>
        <v>0</v>
      </c>
      <c r="AQ21" s="190"/>
      <c r="AR21" s="154"/>
      <c r="AS21" s="189">
        <f>AS19+AS20</f>
        <v>0</v>
      </c>
      <c r="AT21" s="190"/>
      <c r="AU21" s="154"/>
      <c r="AV21" s="189">
        <f>AV19+AV20</f>
        <v>0</v>
      </c>
      <c r="AW21" s="190"/>
      <c r="AX21" s="154"/>
      <c r="AY21" s="189">
        <f>AY19+AY20</f>
        <v>0</v>
      </c>
      <c r="AZ21" s="190"/>
      <c r="BA21" s="154"/>
      <c r="BB21" s="189">
        <f>BB19+BB20</f>
        <v>0</v>
      </c>
      <c r="BC21" s="190"/>
      <c r="BD21" s="154"/>
      <c r="BE21" s="189">
        <f>BE19+BE20</f>
        <v>0</v>
      </c>
      <c r="BF21" s="190"/>
      <c r="BG21" s="154"/>
      <c r="BH21" s="189">
        <f>BH19+BH20</f>
        <v>0</v>
      </c>
      <c r="BI21" s="190"/>
      <c r="BJ21" s="154"/>
      <c r="BK21" s="189">
        <f>BK19+BK20</f>
        <v>0</v>
      </c>
      <c r="BL21" s="190"/>
      <c r="BM21" s="22"/>
      <c r="BN21" s="189">
        <f>BN19+BN20</f>
        <v>0</v>
      </c>
      <c r="BO21" s="190"/>
      <c r="BP21" s="22"/>
      <c r="BQ21" s="240" t="str">
        <f t="shared" si="8"/>
        <v>End Funds</v>
      </c>
      <c r="BR21" s="240"/>
      <c r="BS21" s="240"/>
      <c r="BT21" s="9"/>
      <c r="BU21" s="10"/>
      <c r="BV21" s="10"/>
      <c r="BW21" s="216" t="s">
        <v>103</v>
      </c>
      <c r="BX21" s="217"/>
      <c r="BY21" s="215"/>
      <c r="BZ21" s="215"/>
      <c r="CA21" s="215"/>
      <c r="CB21" s="215"/>
      <c r="CC21" s="9"/>
      <c r="CD21" s="9"/>
      <c r="CE21" s="9"/>
      <c r="CF21" s="9"/>
      <c r="CG21" s="9"/>
      <c r="CH21" s="60"/>
      <c r="CI21" s="9"/>
      <c r="CJ21" s="9"/>
    </row>
    <row r="22" spans="1:88" ht="14.5" customHeight="1" thickBot="1" x14ac:dyDescent="0.2">
      <c r="A22" s="3"/>
      <c r="B22" s="273"/>
      <c r="C22" s="274"/>
      <c r="D22" s="275"/>
      <c r="E22" s="279" t="s">
        <v>101</v>
      </c>
      <c r="F22" s="280"/>
      <c r="G22" s="280"/>
      <c r="H22" s="26"/>
      <c r="I22" s="195"/>
      <c r="J22" s="196"/>
      <c r="K22" s="41"/>
      <c r="L22" s="195"/>
      <c r="M22" s="196"/>
      <c r="N22" s="41"/>
      <c r="O22" s="195"/>
      <c r="P22" s="196"/>
      <c r="Q22" s="41"/>
      <c r="R22" s="195"/>
      <c r="S22" s="196"/>
      <c r="T22" s="41"/>
      <c r="U22" s="195"/>
      <c r="V22" s="196"/>
      <c r="W22" s="41"/>
      <c r="X22" s="195"/>
      <c r="Y22" s="196"/>
      <c r="Z22" s="41"/>
      <c r="AA22" s="195"/>
      <c r="AB22" s="196"/>
      <c r="AC22" s="41"/>
      <c r="AD22" s="195"/>
      <c r="AE22" s="196"/>
      <c r="AF22" s="41"/>
      <c r="AG22" s="195"/>
      <c r="AH22" s="196"/>
      <c r="AI22" s="41"/>
      <c r="AJ22" s="195"/>
      <c r="AK22" s="196"/>
      <c r="AL22" s="41"/>
      <c r="AM22" s="195"/>
      <c r="AN22" s="196"/>
      <c r="AO22" s="41"/>
      <c r="AP22" s="195"/>
      <c r="AQ22" s="196"/>
      <c r="AR22" s="41"/>
      <c r="AS22" s="195"/>
      <c r="AT22" s="196"/>
      <c r="AU22" s="41"/>
      <c r="AV22" s="195"/>
      <c r="AW22" s="196"/>
      <c r="AX22" s="41"/>
      <c r="AY22" s="195"/>
      <c r="AZ22" s="196"/>
      <c r="BA22" s="41"/>
      <c r="BB22" s="195"/>
      <c r="BC22" s="196"/>
      <c r="BD22" s="41"/>
      <c r="BE22" s="195"/>
      <c r="BF22" s="196"/>
      <c r="BG22" s="41"/>
      <c r="BH22" s="195"/>
      <c r="BI22" s="196"/>
      <c r="BJ22" s="41"/>
      <c r="BK22" s="195"/>
      <c r="BL22" s="196"/>
      <c r="BM22" s="41"/>
      <c r="BN22" s="195"/>
      <c r="BO22" s="196"/>
      <c r="BP22" s="41"/>
      <c r="BQ22" s="279" t="str">
        <f t="shared" si="8"/>
        <v>Dividends Paid</v>
      </c>
      <c r="BR22" s="279"/>
      <c r="BS22" s="279"/>
      <c r="BT22" s="9"/>
      <c r="BU22" s="10"/>
      <c r="BV22" s="10"/>
      <c r="BW22" s="290" t="s">
        <v>19</v>
      </c>
      <c r="BX22" s="290"/>
      <c r="BY22" s="290"/>
      <c r="BZ22" s="290"/>
      <c r="CA22" s="290"/>
      <c r="CB22" s="290"/>
      <c r="CC22" s="9"/>
      <c r="CD22" s="9"/>
      <c r="CE22" s="9"/>
      <c r="CF22" s="9"/>
      <c r="CG22" s="9"/>
      <c r="CH22" s="60" t="s">
        <v>1</v>
      </c>
      <c r="CI22" s="9"/>
      <c r="CJ22" s="9"/>
    </row>
    <row r="23" spans="1:88" ht="14.5" customHeight="1" thickBot="1" x14ac:dyDescent="0.2">
      <c r="A23" s="3"/>
      <c r="B23" s="276"/>
      <c r="C23" s="277"/>
      <c r="D23" s="278"/>
      <c r="E23" s="281" t="s">
        <v>31</v>
      </c>
      <c r="F23" s="281"/>
      <c r="G23" s="281"/>
      <c r="H23" s="32"/>
      <c r="I23" s="238" t="str">
        <f>J3</f>
        <v>AA</v>
      </c>
      <c r="J23" s="238"/>
      <c r="K23" s="42"/>
      <c r="L23" s="239" t="str">
        <f>M3</f>
        <v>ALT</v>
      </c>
      <c r="M23" s="239"/>
      <c r="N23" s="42"/>
      <c r="O23" s="250" t="str">
        <f>P3</f>
        <v>BA</v>
      </c>
      <c r="P23" s="250"/>
      <c r="Q23" s="42"/>
      <c r="R23" s="251" t="str">
        <f>S3</f>
        <v>BELT</v>
      </c>
      <c r="S23" s="251"/>
      <c r="T23" s="42"/>
      <c r="U23" s="252" t="str">
        <f>V3</f>
        <v>BESS</v>
      </c>
      <c r="V23" s="252"/>
      <c r="W23" s="42"/>
      <c r="X23" s="253" t="str">
        <f>Y3</f>
        <v>EJE</v>
      </c>
      <c r="Y23" s="253"/>
      <c r="Z23" s="42"/>
      <c r="AA23" s="249" t="str">
        <f>AB3</f>
        <v>GTW</v>
      </c>
      <c r="AB23" s="249"/>
      <c r="AC23" s="42"/>
      <c r="AD23" s="247" t="str">
        <f>AE3</f>
        <v>HOU</v>
      </c>
      <c r="AE23" s="248"/>
      <c r="AF23" s="42"/>
      <c r="AG23" s="244" t="str">
        <f>AH3</f>
        <v>LR</v>
      </c>
      <c r="AH23" s="245"/>
      <c r="AI23" s="159"/>
      <c r="AJ23" s="246" t="str">
        <f>AK3</f>
        <v>ME</v>
      </c>
      <c r="AK23" s="246"/>
      <c r="AL23" s="159"/>
      <c r="AM23" s="185" t="str">
        <f>AN3</f>
        <v>NYOW</v>
      </c>
      <c r="AN23" s="185"/>
      <c r="AO23" s="159"/>
      <c r="AP23" s="186" t="str">
        <f>AQ3</f>
        <v>NYSW</v>
      </c>
      <c r="AQ23" s="186"/>
      <c r="AR23" s="159"/>
      <c r="AS23" s="187" t="str">
        <f>AT3</f>
        <v>PLE</v>
      </c>
      <c r="AT23" s="187"/>
      <c r="AU23" s="159"/>
      <c r="AV23" s="188" t="str">
        <f>AW3</f>
        <v>PSN</v>
      </c>
      <c r="AW23" s="188"/>
      <c r="AX23" s="159"/>
      <c r="AY23" s="254" t="str">
        <f>AZ3</f>
        <v>PW</v>
      </c>
      <c r="AZ23" s="254"/>
      <c r="BA23" s="159"/>
      <c r="BB23" s="220" t="str">
        <f>BC3</f>
        <v>RUT</v>
      </c>
      <c r="BC23" s="220"/>
      <c r="BD23" s="42"/>
      <c r="BE23" s="291" t="str">
        <f>BF3</f>
        <v>STR</v>
      </c>
      <c r="BF23" s="291"/>
      <c r="BG23" s="42"/>
      <c r="BH23" s="282" t="str">
        <f>BI3</f>
        <v>UR</v>
      </c>
      <c r="BI23" s="282"/>
      <c r="BJ23" s="42"/>
      <c r="BK23" s="292" t="str">
        <f>BL3</f>
        <v>WC</v>
      </c>
      <c r="BL23" s="292"/>
      <c r="BM23" s="42"/>
      <c r="BN23" s="285" t="str">
        <f>BO3</f>
        <v>W&amp;T</v>
      </c>
      <c r="BO23" s="285"/>
      <c r="BP23" s="42"/>
      <c r="BQ23" s="281" t="str">
        <f t="shared" si="8"/>
        <v>EXPENSES</v>
      </c>
      <c r="BR23" s="281"/>
      <c r="BS23" s="281"/>
      <c r="BT23" s="11"/>
      <c r="BU23" s="10"/>
      <c r="BV23" s="10"/>
      <c r="BW23" s="135" t="s">
        <v>21</v>
      </c>
      <c r="BX23" s="135" t="s">
        <v>15</v>
      </c>
      <c r="BY23" s="211" t="s">
        <v>29</v>
      </c>
      <c r="BZ23" s="211"/>
      <c r="CA23" s="211"/>
      <c r="CB23" s="211"/>
      <c r="CC23" s="9"/>
      <c r="CD23" s="9"/>
      <c r="CE23" s="9"/>
      <c r="CF23" s="9"/>
      <c r="CG23" s="9"/>
      <c r="CH23" s="60"/>
      <c r="CI23" s="9"/>
      <c r="CJ23" s="9"/>
    </row>
    <row r="24" spans="1:88" ht="13.75" customHeight="1" x14ac:dyDescent="0.15">
      <c r="A24" s="9"/>
      <c r="B24" s="58" t="s">
        <v>47</v>
      </c>
      <c r="C24" s="9"/>
      <c r="D24" s="9"/>
      <c r="E24" s="225" t="s">
        <v>20</v>
      </c>
      <c r="F24" s="225"/>
      <c r="G24" s="225"/>
      <c r="H24" s="20"/>
      <c r="I24" s="218"/>
      <c r="J24" s="219"/>
      <c r="K24" s="43"/>
      <c r="L24" s="218"/>
      <c r="M24" s="219"/>
      <c r="N24" s="43"/>
      <c r="O24" s="218"/>
      <c r="P24" s="219"/>
      <c r="Q24" s="43"/>
      <c r="R24" s="218"/>
      <c r="S24" s="219"/>
      <c r="T24" s="43"/>
      <c r="U24" s="218"/>
      <c r="V24" s="219"/>
      <c r="W24" s="43"/>
      <c r="X24" s="218"/>
      <c r="Y24" s="219"/>
      <c r="Z24" s="43"/>
      <c r="AA24" s="218"/>
      <c r="AB24" s="219"/>
      <c r="AC24" s="43"/>
      <c r="AD24" s="218"/>
      <c r="AE24" s="219"/>
      <c r="AF24" s="43"/>
      <c r="AG24" s="218"/>
      <c r="AH24" s="219"/>
      <c r="AI24" s="43"/>
      <c r="AJ24" s="218"/>
      <c r="AK24" s="219"/>
      <c r="AL24" s="43"/>
      <c r="AM24" s="218"/>
      <c r="AN24" s="219"/>
      <c r="AO24" s="43"/>
      <c r="AP24" s="218"/>
      <c r="AQ24" s="219"/>
      <c r="AR24" s="43"/>
      <c r="AS24" s="218"/>
      <c r="AT24" s="219"/>
      <c r="AU24" s="43"/>
      <c r="AV24" s="218"/>
      <c r="AW24" s="218"/>
      <c r="AX24" s="43"/>
      <c r="AY24" s="218"/>
      <c r="AZ24" s="219"/>
      <c r="BA24" s="43"/>
      <c r="BB24" s="218"/>
      <c r="BC24" s="219"/>
      <c r="BD24" s="43"/>
      <c r="BE24" s="218"/>
      <c r="BF24" s="219"/>
      <c r="BG24" s="43"/>
      <c r="BH24" s="218"/>
      <c r="BI24" s="219"/>
      <c r="BJ24" s="43"/>
      <c r="BK24" s="218"/>
      <c r="BL24" s="218"/>
      <c r="BM24" s="43"/>
      <c r="BN24" s="218"/>
      <c r="BO24" s="218"/>
      <c r="BP24" s="43"/>
      <c r="BQ24" s="225" t="str">
        <f t="shared" ref="BQ24:BQ35" si="9">E24</f>
        <v>Track</v>
      </c>
      <c r="BR24" s="225"/>
      <c r="BS24" s="225"/>
      <c r="BT24" s="9"/>
      <c r="BU24" s="9"/>
      <c r="BV24" s="9"/>
      <c r="BW24" s="54">
        <v>1</v>
      </c>
      <c r="BX24" s="55">
        <v>40</v>
      </c>
      <c r="BY24" s="212" t="s">
        <v>58</v>
      </c>
      <c r="BZ24" s="212"/>
      <c r="CA24" s="212"/>
      <c r="CB24" s="212"/>
      <c r="CC24" s="9"/>
      <c r="CD24" s="9"/>
      <c r="CE24" s="9"/>
      <c r="CF24" s="9"/>
      <c r="CG24" s="9"/>
      <c r="CH24" s="60"/>
      <c r="CI24" s="9"/>
      <c r="CJ24" s="9"/>
    </row>
    <row r="25" spans="1:88" ht="13.75" customHeight="1" x14ac:dyDescent="0.15">
      <c r="A25" s="9"/>
      <c r="B25" s="58" t="s">
        <v>48</v>
      </c>
      <c r="C25" s="9"/>
      <c r="D25" s="58">
        <v>7</v>
      </c>
      <c r="E25" s="226" t="s">
        <v>22</v>
      </c>
      <c r="F25" s="226"/>
      <c r="G25" s="226"/>
      <c r="H25" s="20"/>
      <c r="I25" s="191"/>
      <c r="J25" s="192"/>
      <c r="K25" s="43"/>
      <c r="L25" s="191"/>
      <c r="M25" s="192"/>
      <c r="N25" s="43"/>
      <c r="O25" s="191"/>
      <c r="P25" s="192"/>
      <c r="Q25" s="43"/>
      <c r="R25" s="191"/>
      <c r="S25" s="192"/>
      <c r="T25" s="43"/>
      <c r="U25" s="191"/>
      <c r="V25" s="192"/>
      <c r="W25" s="43"/>
      <c r="X25" s="191"/>
      <c r="Y25" s="192"/>
      <c r="Z25" s="43"/>
      <c r="AA25" s="191"/>
      <c r="AB25" s="192"/>
      <c r="AC25" s="43"/>
      <c r="AD25" s="191"/>
      <c r="AE25" s="192"/>
      <c r="AF25" s="43"/>
      <c r="AG25" s="191"/>
      <c r="AH25" s="192"/>
      <c r="AI25" s="43"/>
      <c r="AJ25" s="191"/>
      <c r="AK25" s="192"/>
      <c r="AL25" s="43"/>
      <c r="AM25" s="191"/>
      <c r="AN25" s="192"/>
      <c r="AO25" s="43"/>
      <c r="AP25" s="191"/>
      <c r="AQ25" s="192"/>
      <c r="AR25" s="43"/>
      <c r="AS25" s="191"/>
      <c r="AT25" s="192"/>
      <c r="AU25" s="43"/>
      <c r="AV25" s="191"/>
      <c r="AW25" s="192"/>
      <c r="AX25" s="43"/>
      <c r="AY25" s="191"/>
      <c r="AZ25" s="192"/>
      <c r="BA25" s="43"/>
      <c r="BB25" s="191"/>
      <c r="BC25" s="192"/>
      <c r="BD25" s="43"/>
      <c r="BE25" s="191"/>
      <c r="BF25" s="192"/>
      <c r="BG25" s="43"/>
      <c r="BH25" s="191"/>
      <c r="BI25" s="192"/>
      <c r="BJ25" s="43"/>
      <c r="BK25" s="191"/>
      <c r="BL25" s="192"/>
      <c r="BM25" s="43"/>
      <c r="BN25" s="191"/>
      <c r="BO25" s="192"/>
      <c r="BP25" s="43"/>
      <c r="BQ25" s="226" t="str">
        <f t="shared" si="9"/>
        <v>Train Purchases</v>
      </c>
      <c r="BR25" s="226"/>
      <c r="BS25" s="226"/>
      <c r="BT25" s="9"/>
      <c r="BU25" s="9"/>
      <c r="BV25" s="9"/>
      <c r="BW25" s="56">
        <v>2</v>
      </c>
      <c r="BX25" s="57">
        <v>40</v>
      </c>
      <c r="BY25" s="213" t="s">
        <v>57</v>
      </c>
      <c r="BZ25" s="213"/>
      <c r="CA25" s="213"/>
      <c r="CB25" s="213"/>
      <c r="CC25" s="9"/>
      <c r="CD25" s="9"/>
      <c r="CE25" s="9"/>
      <c r="CF25" s="9"/>
      <c r="CG25" s="9"/>
      <c r="CH25" s="60"/>
      <c r="CI25" s="9"/>
      <c r="CJ25" s="9"/>
    </row>
    <row r="26" spans="1:88" ht="13.75" customHeight="1" x14ac:dyDescent="0.15">
      <c r="A26" s="9"/>
      <c r="B26" s="9"/>
      <c r="C26" s="9"/>
      <c r="D26" s="9"/>
      <c r="E26" s="225" t="s">
        <v>73</v>
      </c>
      <c r="F26" s="225"/>
      <c r="G26" s="225"/>
      <c r="H26" s="20"/>
      <c r="I26" s="183"/>
      <c r="J26" s="184"/>
      <c r="K26" s="43"/>
      <c r="L26" s="183"/>
      <c r="M26" s="184"/>
      <c r="N26" s="43"/>
      <c r="O26" s="183"/>
      <c r="P26" s="184"/>
      <c r="Q26" s="43"/>
      <c r="R26" s="183"/>
      <c r="S26" s="184"/>
      <c r="T26" s="43"/>
      <c r="U26" s="183"/>
      <c r="V26" s="184"/>
      <c r="W26" s="43"/>
      <c r="X26" s="183"/>
      <c r="Y26" s="184"/>
      <c r="Z26" s="43"/>
      <c r="AA26" s="183"/>
      <c r="AB26" s="184"/>
      <c r="AC26" s="43"/>
      <c r="AD26" s="183"/>
      <c r="AE26" s="184"/>
      <c r="AF26" s="43"/>
      <c r="AG26" s="183"/>
      <c r="AH26" s="184"/>
      <c r="AI26" s="43"/>
      <c r="AJ26" s="183"/>
      <c r="AK26" s="184"/>
      <c r="AL26" s="43"/>
      <c r="AM26" s="183"/>
      <c r="AN26" s="184"/>
      <c r="AO26" s="43"/>
      <c r="AP26" s="183"/>
      <c r="AQ26" s="184"/>
      <c r="AR26" s="43"/>
      <c r="AS26" s="183"/>
      <c r="AT26" s="184"/>
      <c r="AU26" s="43"/>
      <c r="AV26" s="183"/>
      <c r="AW26" s="184"/>
      <c r="AX26" s="43"/>
      <c r="AY26" s="183"/>
      <c r="AZ26" s="184"/>
      <c r="BA26" s="43"/>
      <c r="BB26" s="183"/>
      <c r="BC26" s="184"/>
      <c r="BD26" s="43"/>
      <c r="BE26" s="183"/>
      <c r="BF26" s="184"/>
      <c r="BG26" s="43"/>
      <c r="BH26" s="183"/>
      <c r="BI26" s="184"/>
      <c r="BJ26" s="43"/>
      <c r="BK26" s="183"/>
      <c r="BL26" s="184"/>
      <c r="BM26" s="43"/>
      <c r="BN26" s="183"/>
      <c r="BO26" s="184"/>
      <c r="BP26" s="43"/>
      <c r="BQ26" s="225" t="str">
        <f>E26</f>
        <v>Pay Loan Fees</v>
      </c>
      <c r="BR26" s="225"/>
      <c r="BS26" s="225"/>
      <c r="BT26" s="9"/>
      <c r="BU26" s="9"/>
      <c r="BV26" s="9"/>
      <c r="BW26" s="54">
        <v>3</v>
      </c>
      <c r="BX26" s="55">
        <v>40</v>
      </c>
      <c r="BY26" s="212" t="s">
        <v>59</v>
      </c>
      <c r="BZ26" s="212"/>
      <c r="CA26" s="212"/>
      <c r="CB26" s="212"/>
      <c r="CC26" s="9"/>
      <c r="CD26" s="9"/>
      <c r="CE26" s="9"/>
      <c r="CF26" s="9"/>
      <c r="CG26" s="9"/>
      <c r="CH26" s="61"/>
      <c r="CI26" s="9"/>
      <c r="CJ26" s="9"/>
    </row>
    <row r="27" spans="1:88" ht="13.75" customHeight="1" x14ac:dyDescent="0.15">
      <c r="A27" s="9"/>
      <c r="B27" s="58" t="s">
        <v>98</v>
      </c>
      <c r="C27" s="9"/>
      <c r="D27" s="9"/>
      <c r="E27" s="226" t="s">
        <v>74</v>
      </c>
      <c r="F27" s="226"/>
      <c r="G27" s="226"/>
      <c r="H27" s="20"/>
      <c r="I27" s="191"/>
      <c r="J27" s="192"/>
      <c r="K27" s="43"/>
      <c r="L27" s="191"/>
      <c r="M27" s="192"/>
      <c r="N27" s="43"/>
      <c r="O27" s="191"/>
      <c r="P27" s="192"/>
      <c r="Q27" s="43"/>
      <c r="R27" s="191"/>
      <c r="S27" s="192"/>
      <c r="T27" s="43"/>
      <c r="U27" s="191"/>
      <c r="V27" s="192"/>
      <c r="W27" s="43"/>
      <c r="X27" s="191"/>
      <c r="Y27" s="192"/>
      <c r="Z27" s="43"/>
      <c r="AA27" s="191"/>
      <c r="AB27" s="192"/>
      <c r="AC27" s="43"/>
      <c r="AD27" s="191"/>
      <c r="AE27" s="192"/>
      <c r="AF27" s="43"/>
      <c r="AG27" s="191"/>
      <c r="AH27" s="192"/>
      <c r="AI27" s="43"/>
      <c r="AJ27" s="191"/>
      <c r="AK27" s="192"/>
      <c r="AL27" s="43"/>
      <c r="AM27" s="191"/>
      <c r="AN27" s="192"/>
      <c r="AO27" s="43"/>
      <c r="AP27" s="191"/>
      <c r="AQ27" s="192"/>
      <c r="AR27" s="43"/>
      <c r="AS27" s="191"/>
      <c r="AT27" s="192"/>
      <c r="AU27" s="43"/>
      <c r="AV27" s="191"/>
      <c r="AW27" s="192"/>
      <c r="AX27" s="43"/>
      <c r="AY27" s="191"/>
      <c r="AZ27" s="192"/>
      <c r="BA27" s="43"/>
      <c r="BB27" s="191"/>
      <c r="BC27" s="192"/>
      <c r="BD27" s="43"/>
      <c r="BE27" s="191"/>
      <c r="BF27" s="192"/>
      <c r="BG27" s="43"/>
      <c r="BH27" s="191"/>
      <c r="BI27" s="192"/>
      <c r="BJ27" s="43"/>
      <c r="BK27" s="191"/>
      <c r="BL27" s="192"/>
      <c r="BM27" s="43"/>
      <c r="BN27" s="191"/>
      <c r="BO27" s="192"/>
      <c r="BP27" s="43"/>
      <c r="BQ27" s="226" t="str">
        <f>E27</f>
        <v>Repay Loan</v>
      </c>
      <c r="BR27" s="226"/>
      <c r="BS27" s="226"/>
      <c r="BT27" s="9"/>
      <c r="BU27" s="9"/>
      <c r="BV27" s="9"/>
      <c r="BW27" s="56">
        <v>4</v>
      </c>
      <c r="BX27" s="57">
        <v>80</v>
      </c>
      <c r="BY27" s="213" t="s">
        <v>60</v>
      </c>
      <c r="BZ27" s="213"/>
      <c r="CA27" s="213"/>
      <c r="CB27" s="213"/>
      <c r="CC27" s="9"/>
      <c r="CD27" s="9"/>
      <c r="CE27" s="9"/>
      <c r="CF27" s="9"/>
      <c r="CG27" s="9"/>
      <c r="CH27" s="62" t="s">
        <v>1</v>
      </c>
      <c r="CI27" s="9"/>
      <c r="CJ27" s="9"/>
    </row>
    <row r="28" spans="1:88" ht="13.75" customHeight="1" x14ac:dyDescent="0.15">
      <c r="A28" s="9"/>
      <c r="B28" s="58" t="s">
        <v>99</v>
      </c>
      <c r="C28" s="9"/>
      <c r="D28" s="9"/>
      <c r="E28" s="225" t="s">
        <v>68</v>
      </c>
      <c r="F28" s="225"/>
      <c r="G28" s="225"/>
      <c r="H28" s="20"/>
      <c r="I28" s="183"/>
      <c r="J28" s="184"/>
      <c r="K28" s="43"/>
      <c r="L28" s="183"/>
      <c r="M28" s="184"/>
      <c r="N28" s="43"/>
      <c r="O28" s="183"/>
      <c r="P28" s="184"/>
      <c r="Q28" s="43"/>
      <c r="R28" s="183"/>
      <c r="S28" s="184"/>
      <c r="T28" s="43"/>
      <c r="U28" s="183"/>
      <c r="V28" s="184"/>
      <c r="W28" s="43"/>
      <c r="X28" s="183"/>
      <c r="Y28" s="184"/>
      <c r="Z28" s="43"/>
      <c r="AA28" s="183"/>
      <c r="AB28" s="184"/>
      <c r="AC28" s="43"/>
      <c r="AD28" s="183"/>
      <c r="AE28" s="184"/>
      <c r="AF28" s="43"/>
      <c r="AG28" s="183"/>
      <c r="AH28" s="184"/>
      <c r="AI28" s="43"/>
      <c r="AJ28" s="183"/>
      <c r="AK28" s="184"/>
      <c r="AL28" s="43"/>
      <c r="AM28" s="183"/>
      <c r="AN28" s="184"/>
      <c r="AO28" s="43"/>
      <c r="AP28" s="183"/>
      <c r="AQ28" s="184"/>
      <c r="AR28" s="43"/>
      <c r="AS28" s="183"/>
      <c r="AT28" s="184"/>
      <c r="AU28" s="43"/>
      <c r="AV28" s="183"/>
      <c r="AW28" s="184"/>
      <c r="AX28" s="43"/>
      <c r="AY28" s="183"/>
      <c r="AZ28" s="184"/>
      <c r="BA28" s="43"/>
      <c r="BB28" s="183"/>
      <c r="BC28" s="184"/>
      <c r="BD28" s="43"/>
      <c r="BE28" s="183"/>
      <c r="BF28" s="184"/>
      <c r="BG28" s="43"/>
      <c r="BH28" s="183"/>
      <c r="BI28" s="184"/>
      <c r="BJ28" s="43"/>
      <c r="BK28" s="183"/>
      <c r="BL28" s="184"/>
      <c r="BM28" s="43"/>
      <c r="BN28" s="183"/>
      <c r="BO28" s="184"/>
      <c r="BP28" s="43"/>
      <c r="BQ28" s="225" t="str">
        <f t="shared" si="9"/>
        <v>Acquisition Costs</v>
      </c>
      <c r="BR28" s="225"/>
      <c r="BS28" s="225"/>
      <c r="BT28" s="9"/>
      <c r="BU28" s="9"/>
      <c r="BV28" s="9"/>
      <c r="BW28" s="54">
        <v>5</v>
      </c>
      <c r="BX28" s="55">
        <v>80</v>
      </c>
      <c r="BY28" s="212" t="s">
        <v>61</v>
      </c>
      <c r="BZ28" s="212"/>
      <c r="CA28" s="212"/>
      <c r="CB28" s="212"/>
      <c r="CC28" s="9"/>
      <c r="CD28" s="9"/>
      <c r="CE28" s="9"/>
      <c r="CF28" s="9"/>
      <c r="CG28" s="9"/>
      <c r="CH28" s="61"/>
      <c r="CI28" s="9"/>
      <c r="CJ28" s="9"/>
    </row>
    <row r="29" spans="1:88" ht="13.75" customHeight="1" x14ac:dyDescent="0.15">
      <c r="A29" s="9"/>
      <c r="B29" s="59">
        <v>200</v>
      </c>
      <c r="C29" s="9"/>
      <c r="D29" s="9"/>
      <c r="E29" s="226" t="s">
        <v>75</v>
      </c>
      <c r="F29" s="226"/>
      <c r="G29" s="226"/>
      <c r="H29" s="20"/>
      <c r="I29" s="191"/>
      <c r="J29" s="192"/>
      <c r="K29" s="43"/>
      <c r="L29" s="191"/>
      <c r="M29" s="192"/>
      <c r="N29" s="43"/>
      <c r="O29" s="191"/>
      <c r="P29" s="192"/>
      <c r="Q29" s="43"/>
      <c r="R29" s="191"/>
      <c r="S29" s="192"/>
      <c r="T29" s="43"/>
      <c r="U29" s="191"/>
      <c r="V29" s="192"/>
      <c r="W29" s="43"/>
      <c r="X29" s="191"/>
      <c r="Y29" s="192"/>
      <c r="Z29" s="43"/>
      <c r="AA29" s="191"/>
      <c r="AB29" s="192"/>
      <c r="AC29" s="43"/>
      <c r="AD29" s="191"/>
      <c r="AE29" s="192"/>
      <c r="AF29" s="43"/>
      <c r="AG29" s="191"/>
      <c r="AH29" s="192"/>
      <c r="AI29" s="43"/>
      <c r="AJ29" s="191"/>
      <c r="AK29" s="192"/>
      <c r="AL29" s="43"/>
      <c r="AM29" s="191"/>
      <c r="AN29" s="192"/>
      <c r="AO29" s="43"/>
      <c r="AP29" s="191"/>
      <c r="AQ29" s="192"/>
      <c r="AR29" s="43"/>
      <c r="AS29" s="191"/>
      <c r="AT29" s="192"/>
      <c r="AU29" s="43"/>
      <c r="AV29" s="191"/>
      <c r="AW29" s="192"/>
      <c r="AX29" s="43"/>
      <c r="AY29" s="191"/>
      <c r="AZ29" s="192"/>
      <c r="BA29" s="43"/>
      <c r="BB29" s="191"/>
      <c r="BC29" s="192"/>
      <c r="BD29" s="43"/>
      <c r="BE29" s="191"/>
      <c r="BF29" s="192"/>
      <c r="BG29" s="43"/>
      <c r="BH29" s="191"/>
      <c r="BI29" s="192"/>
      <c r="BJ29" s="43"/>
      <c r="BK29" s="191"/>
      <c r="BL29" s="192"/>
      <c r="BM29" s="43"/>
      <c r="BN29" s="191"/>
      <c r="BO29" s="192"/>
      <c r="BP29" s="43"/>
      <c r="BQ29" s="226" t="str">
        <f>E29</f>
        <v>Station Purchases</v>
      </c>
      <c r="BR29" s="226"/>
      <c r="BS29" s="226"/>
      <c r="BT29" s="9"/>
      <c r="BU29" s="9"/>
      <c r="BV29" s="9"/>
      <c r="BW29" s="56">
        <v>6</v>
      </c>
      <c r="BX29" s="57">
        <v>30</v>
      </c>
      <c r="BY29" s="213" t="s">
        <v>62</v>
      </c>
      <c r="BZ29" s="213"/>
      <c r="CA29" s="213"/>
      <c r="CB29" s="213"/>
      <c r="CC29" s="9"/>
      <c r="CD29" s="9"/>
      <c r="CE29" s="9"/>
      <c r="CF29" s="9"/>
      <c r="CG29" s="9"/>
      <c r="CH29" s="62" t="s">
        <v>1</v>
      </c>
      <c r="CI29" s="9"/>
      <c r="CJ29" s="9"/>
    </row>
    <row r="30" spans="1:88" ht="13.75" customHeight="1" thickBot="1" x14ac:dyDescent="0.2">
      <c r="A30" s="9"/>
      <c r="B30" s="9"/>
      <c r="C30" s="9"/>
      <c r="D30" s="9"/>
      <c r="E30" s="225" t="s">
        <v>44</v>
      </c>
      <c r="F30" s="225"/>
      <c r="G30" s="225"/>
      <c r="H30" s="20"/>
      <c r="I30" s="183"/>
      <c r="J30" s="184"/>
      <c r="K30" s="43"/>
      <c r="L30" s="183"/>
      <c r="M30" s="184"/>
      <c r="N30" s="43"/>
      <c r="O30" s="183"/>
      <c r="P30" s="184"/>
      <c r="Q30" s="43"/>
      <c r="R30" s="183"/>
      <c r="S30" s="184"/>
      <c r="T30" s="43"/>
      <c r="U30" s="183"/>
      <c r="V30" s="184"/>
      <c r="W30" s="43"/>
      <c r="X30" s="183"/>
      <c r="Y30" s="184"/>
      <c r="Z30" s="43"/>
      <c r="AA30" s="183"/>
      <c r="AB30" s="184"/>
      <c r="AC30" s="43"/>
      <c r="AD30" s="183"/>
      <c r="AE30" s="184"/>
      <c r="AF30" s="43"/>
      <c r="AG30" s="183"/>
      <c r="AH30" s="184"/>
      <c r="AI30" s="43"/>
      <c r="AJ30" s="183"/>
      <c r="AK30" s="184"/>
      <c r="AL30" s="43"/>
      <c r="AM30" s="183"/>
      <c r="AN30" s="184"/>
      <c r="AO30" s="43"/>
      <c r="AP30" s="183"/>
      <c r="AQ30" s="184"/>
      <c r="AR30" s="43"/>
      <c r="AS30" s="183"/>
      <c r="AT30" s="184"/>
      <c r="AU30" s="43"/>
      <c r="AV30" s="183"/>
      <c r="AW30" s="184"/>
      <c r="AX30" s="43"/>
      <c r="AY30" s="183"/>
      <c r="AZ30" s="184"/>
      <c r="BA30" s="43"/>
      <c r="BB30" s="183"/>
      <c r="BC30" s="184"/>
      <c r="BD30" s="43"/>
      <c r="BE30" s="183"/>
      <c r="BF30" s="184"/>
      <c r="BG30" s="43"/>
      <c r="BH30" s="183"/>
      <c r="BI30" s="184"/>
      <c r="BJ30" s="43"/>
      <c r="BK30" s="183"/>
      <c r="BL30" s="184"/>
      <c r="BM30" s="43"/>
      <c r="BN30" s="183"/>
      <c r="BO30" s="184"/>
      <c r="BP30" s="43"/>
      <c r="BQ30" s="225" t="str">
        <f>E30</f>
        <v>Redeem Shares</v>
      </c>
      <c r="BR30" s="225"/>
      <c r="BS30" s="225"/>
      <c r="BT30" s="9"/>
      <c r="BU30" s="9"/>
      <c r="BV30" s="9"/>
      <c r="BW30" s="54">
        <v>7</v>
      </c>
      <c r="BX30" s="55">
        <v>60</v>
      </c>
      <c r="BY30" s="212" t="s">
        <v>63</v>
      </c>
      <c r="BZ30" s="212"/>
      <c r="CA30" s="212"/>
      <c r="CB30" s="212"/>
      <c r="CC30" s="9"/>
      <c r="CD30" s="9"/>
      <c r="CE30" s="9"/>
      <c r="CF30" s="9"/>
      <c r="CG30" s="9"/>
      <c r="CH30" s="63"/>
      <c r="CI30" s="9"/>
      <c r="CJ30" s="9"/>
    </row>
    <row r="31" spans="1:88" ht="13.75" customHeight="1" thickBot="1" x14ac:dyDescent="0.2">
      <c r="A31" s="9"/>
      <c r="B31" s="9"/>
      <c r="C31" s="9"/>
      <c r="D31" s="9"/>
      <c r="E31" s="284" t="s">
        <v>30</v>
      </c>
      <c r="F31" s="284"/>
      <c r="G31" s="284"/>
      <c r="H31" s="27"/>
      <c r="I31" s="238" t="str">
        <f>J3</f>
        <v>AA</v>
      </c>
      <c r="J31" s="238"/>
      <c r="K31" s="42"/>
      <c r="L31" s="239" t="str">
        <f>M3</f>
        <v>ALT</v>
      </c>
      <c r="M31" s="239"/>
      <c r="N31" s="42"/>
      <c r="O31" s="250" t="str">
        <f>P3</f>
        <v>BA</v>
      </c>
      <c r="P31" s="250"/>
      <c r="Q31" s="42"/>
      <c r="R31" s="251" t="str">
        <f>S3</f>
        <v>BELT</v>
      </c>
      <c r="S31" s="251"/>
      <c r="T31" s="42"/>
      <c r="U31" s="252" t="str">
        <f>V3</f>
        <v>BESS</v>
      </c>
      <c r="V31" s="252"/>
      <c r="W31" s="42"/>
      <c r="X31" s="253" t="str">
        <f>Y3</f>
        <v>EJE</v>
      </c>
      <c r="Y31" s="253"/>
      <c r="Z31" s="42"/>
      <c r="AA31" s="249" t="str">
        <f>AB3</f>
        <v>GTW</v>
      </c>
      <c r="AB31" s="249"/>
      <c r="AC31" s="42"/>
      <c r="AD31" s="247" t="str">
        <f>AE3</f>
        <v>HOU</v>
      </c>
      <c r="AE31" s="248"/>
      <c r="AF31" s="42"/>
      <c r="AG31" s="244" t="str">
        <f>AH3</f>
        <v>LR</v>
      </c>
      <c r="AH31" s="245"/>
      <c r="AI31" s="159"/>
      <c r="AJ31" s="246" t="str">
        <f>AK3</f>
        <v>ME</v>
      </c>
      <c r="AK31" s="246"/>
      <c r="AL31" s="159"/>
      <c r="AM31" s="185" t="str">
        <f>AN3</f>
        <v>NYOW</v>
      </c>
      <c r="AN31" s="185"/>
      <c r="AO31" s="159"/>
      <c r="AP31" s="186" t="str">
        <f>AQ3</f>
        <v>NYSW</v>
      </c>
      <c r="AQ31" s="186"/>
      <c r="AR31" s="159"/>
      <c r="AS31" s="187" t="str">
        <f>AT3</f>
        <v>PLE</v>
      </c>
      <c r="AT31" s="187"/>
      <c r="AU31" s="159"/>
      <c r="AV31" s="188" t="str">
        <f>AW3</f>
        <v>PSN</v>
      </c>
      <c r="AW31" s="188"/>
      <c r="AX31" s="159"/>
      <c r="AY31" s="254" t="str">
        <f>AZ3</f>
        <v>PW</v>
      </c>
      <c r="AZ31" s="254"/>
      <c r="BA31" s="159"/>
      <c r="BB31" s="220" t="str">
        <f>BC3</f>
        <v>RUT</v>
      </c>
      <c r="BC31" s="220"/>
      <c r="BD31" s="42"/>
      <c r="BE31" s="291" t="str">
        <f>BF3</f>
        <v>STR</v>
      </c>
      <c r="BF31" s="291"/>
      <c r="BG31" s="42"/>
      <c r="BH31" s="282" t="str">
        <f>BI3</f>
        <v>UR</v>
      </c>
      <c r="BI31" s="282"/>
      <c r="BJ31" s="42"/>
      <c r="BK31" s="292" t="str">
        <f>BL3</f>
        <v>WC</v>
      </c>
      <c r="BL31" s="292"/>
      <c r="BM31" s="18"/>
      <c r="BN31" s="285" t="str">
        <f>BO3</f>
        <v>W&amp;T</v>
      </c>
      <c r="BO31" s="285"/>
      <c r="BP31" s="18"/>
      <c r="BQ31" s="284" t="str">
        <f t="shared" si="9"/>
        <v>INCOME</v>
      </c>
      <c r="BR31" s="284"/>
      <c r="BS31" s="284"/>
      <c r="BT31" s="11"/>
      <c r="BU31" s="9"/>
      <c r="BV31" s="9"/>
      <c r="BW31" s="56">
        <v>8</v>
      </c>
      <c r="BX31" s="57">
        <v>90</v>
      </c>
      <c r="BY31" s="213" t="s">
        <v>64</v>
      </c>
      <c r="BZ31" s="213"/>
      <c r="CA31" s="213"/>
      <c r="CB31" s="213"/>
      <c r="CC31" s="9"/>
      <c r="CD31" s="9"/>
      <c r="CE31" s="9"/>
      <c r="CF31" s="9"/>
      <c r="CG31" s="9"/>
      <c r="CH31" s="63"/>
      <c r="CI31" s="9"/>
      <c r="CJ31" s="9"/>
    </row>
    <row r="32" spans="1:88" ht="13.75" customHeight="1" x14ac:dyDescent="0.15">
      <c r="A32" s="9"/>
      <c r="B32" s="9"/>
      <c r="C32" s="9"/>
      <c r="D32" s="9"/>
      <c r="E32" s="178" t="s">
        <v>33</v>
      </c>
      <c r="F32" s="178"/>
      <c r="G32" s="178"/>
      <c r="H32" s="20"/>
      <c r="I32" s="189">
        <f>I12*I22/I13</f>
        <v>0</v>
      </c>
      <c r="J32" s="190"/>
      <c r="K32" s="154"/>
      <c r="L32" s="189">
        <f>L12*L22/L13</f>
        <v>0</v>
      </c>
      <c r="M32" s="190"/>
      <c r="N32" s="154"/>
      <c r="O32" s="189">
        <f>O12*O22/O13</f>
        <v>0</v>
      </c>
      <c r="P32" s="190"/>
      <c r="Q32" s="154"/>
      <c r="R32" s="189">
        <f>R12*R22/R13</f>
        <v>0</v>
      </c>
      <c r="S32" s="190"/>
      <c r="T32" s="154"/>
      <c r="U32" s="189">
        <f>U12*U22/U13</f>
        <v>0</v>
      </c>
      <c r="V32" s="190"/>
      <c r="W32" s="154"/>
      <c r="X32" s="189">
        <f>X12*X22/X13</f>
        <v>0</v>
      </c>
      <c r="Y32" s="190"/>
      <c r="Z32" s="154"/>
      <c r="AA32" s="189">
        <f>AA12*AA22/AA13</f>
        <v>0</v>
      </c>
      <c r="AB32" s="190"/>
      <c r="AC32" s="154"/>
      <c r="AD32" s="189">
        <f>AD12*AD22/AD13</f>
        <v>0</v>
      </c>
      <c r="AE32" s="190"/>
      <c r="AF32" s="154"/>
      <c r="AG32" s="189">
        <f>AG12*AG22/AG13</f>
        <v>0</v>
      </c>
      <c r="AH32" s="190"/>
      <c r="AI32" s="154"/>
      <c r="AJ32" s="189">
        <f>AJ12*AJ22/AJ13</f>
        <v>0</v>
      </c>
      <c r="AK32" s="190"/>
      <c r="AL32" s="154"/>
      <c r="AM32" s="189">
        <f>AM12*AM22/AM13</f>
        <v>0</v>
      </c>
      <c r="AN32" s="190"/>
      <c r="AO32" s="154"/>
      <c r="AP32" s="189">
        <f>AP12*AP22/AP13</f>
        <v>0</v>
      </c>
      <c r="AQ32" s="190"/>
      <c r="AR32" s="154"/>
      <c r="AS32" s="189">
        <f>AS12*AS22/AS13</f>
        <v>0</v>
      </c>
      <c r="AT32" s="190"/>
      <c r="AU32" s="154"/>
      <c r="AV32" s="189">
        <f>AV12*AV22/AV13</f>
        <v>0</v>
      </c>
      <c r="AW32" s="190"/>
      <c r="AX32" s="154"/>
      <c r="AY32" s="189">
        <f>AY12*AY22/AY13</f>
        <v>0</v>
      </c>
      <c r="AZ32" s="190"/>
      <c r="BA32" s="154"/>
      <c r="BB32" s="189">
        <f>BB12*BB22/BB13</f>
        <v>0</v>
      </c>
      <c r="BC32" s="190"/>
      <c r="BD32" s="154"/>
      <c r="BE32" s="189">
        <f>BE12*BE22/BE13</f>
        <v>0</v>
      </c>
      <c r="BF32" s="190"/>
      <c r="BG32" s="154"/>
      <c r="BH32" s="189">
        <f>BH12*BH22/BH13</f>
        <v>0</v>
      </c>
      <c r="BI32" s="190"/>
      <c r="BJ32" s="154"/>
      <c r="BK32" s="189">
        <f>BK12*BK22/BK13</f>
        <v>0</v>
      </c>
      <c r="BL32" s="190"/>
      <c r="BM32" s="47"/>
      <c r="BN32" s="189">
        <f>BN12*BN22/BN13</f>
        <v>0</v>
      </c>
      <c r="BO32" s="190"/>
      <c r="BP32" s="47"/>
      <c r="BQ32" s="178" t="str">
        <f>E32</f>
        <v>Dividends</v>
      </c>
      <c r="BR32" s="178"/>
      <c r="BS32" s="178"/>
      <c r="BT32" s="11"/>
      <c r="BU32" s="9"/>
      <c r="BV32" s="9"/>
      <c r="BW32" s="158" t="s">
        <v>55</v>
      </c>
      <c r="BX32" s="55">
        <v>60</v>
      </c>
      <c r="BY32" s="212" t="s">
        <v>65</v>
      </c>
      <c r="BZ32" s="212"/>
      <c r="CA32" s="212"/>
      <c r="CB32" s="212"/>
      <c r="CC32" s="9"/>
      <c r="CD32" s="9"/>
      <c r="CE32" s="9"/>
      <c r="CF32" s="9"/>
      <c r="CG32" s="9"/>
      <c r="CH32" s="63"/>
      <c r="CI32" s="9"/>
      <c r="CJ32" s="9"/>
    </row>
    <row r="33" spans="1:88" ht="13.75" customHeight="1" x14ac:dyDescent="0.15">
      <c r="A33" s="9"/>
      <c r="B33" s="9"/>
      <c r="C33" s="9"/>
      <c r="D33" s="9"/>
      <c r="E33" s="210" t="s">
        <v>69</v>
      </c>
      <c r="F33" s="210"/>
      <c r="G33" s="210"/>
      <c r="H33" s="20"/>
      <c r="I33" s="179"/>
      <c r="J33" s="180"/>
      <c r="K33" s="43"/>
      <c r="L33" s="179"/>
      <c r="M33" s="180"/>
      <c r="N33" s="43"/>
      <c r="O33" s="179"/>
      <c r="P33" s="180"/>
      <c r="Q33" s="43"/>
      <c r="R33" s="179"/>
      <c r="S33" s="180"/>
      <c r="T33" s="43"/>
      <c r="U33" s="179"/>
      <c r="V33" s="180"/>
      <c r="W33" s="43"/>
      <c r="X33" s="179"/>
      <c r="Y33" s="180"/>
      <c r="Z33" s="47"/>
      <c r="AA33" s="179"/>
      <c r="AB33" s="180"/>
      <c r="AC33" s="43"/>
      <c r="AD33" s="179"/>
      <c r="AE33" s="180"/>
      <c r="AF33" s="43"/>
      <c r="AG33" s="179"/>
      <c r="AH33" s="180"/>
      <c r="AI33" s="43"/>
      <c r="AJ33" s="179"/>
      <c r="AK33" s="180"/>
      <c r="AL33" s="47"/>
      <c r="AM33" s="179"/>
      <c r="AN33" s="180"/>
      <c r="AO33" s="47"/>
      <c r="AP33" s="179"/>
      <c r="AQ33" s="180"/>
      <c r="AR33" s="47"/>
      <c r="AS33" s="179"/>
      <c r="AT33" s="180"/>
      <c r="AU33" s="47"/>
      <c r="AV33" s="179"/>
      <c r="AW33" s="180"/>
      <c r="AX33" s="47"/>
      <c r="AY33" s="179"/>
      <c r="AZ33" s="180"/>
      <c r="BA33" s="47"/>
      <c r="BB33" s="179"/>
      <c r="BC33" s="180"/>
      <c r="BD33" s="47"/>
      <c r="BE33" s="179"/>
      <c r="BF33" s="180"/>
      <c r="BG33" s="47"/>
      <c r="BH33" s="179"/>
      <c r="BI33" s="180"/>
      <c r="BJ33" s="47"/>
      <c r="BK33" s="179"/>
      <c r="BL33" s="180"/>
      <c r="BM33" s="47"/>
      <c r="BN33" s="179"/>
      <c r="BO33" s="180"/>
      <c r="BP33" s="47"/>
      <c r="BQ33" s="210" t="str">
        <f t="shared" si="9"/>
        <v>Private Revenues</v>
      </c>
      <c r="BR33" s="210"/>
      <c r="BS33" s="210"/>
      <c r="BT33" s="11"/>
      <c r="BU33" s="9"/>
      <c r="BV33" s="9"/>
      <c r="BW33" s="67" t="s">
        <v>56</v>
      </c>
      <c r="BX33" s="57">
        <v>90</v>
      </c>
      <c r="BY33" s="213" t="s">
        <v>66</v>
      </c>
      <c r="BZ33" s="213"/>
      <c r="CA33" s="213"/>
      <c r="CB33" s="213"/>
      <c r="CC33" s="9"/>
      <c r="CD33" s="9"/>
      <c r="CE33" s="9"/>
      <c r="CF33" s="9"/>
      <c r="CG33" s="9"/>
      <c r="CH33" s="63"/>
      <c r="CI33" s="9"/>
      <c r="CJ33" s="9"/>
    </row>
    <row r="34" spans="1:88" ht="13.75" customHeight="1" x14ac:dyDescent="0.15">
      <c r="A34" s="9"/>
      <c r="B34" s="9"/>
      <c r="C34" s="9"/>
      <c r="D34" s="9"/>
      <c r="E34" s="178" t="s">
        <v>94</v>
      </c>
      <c r="F34" s="178"/>
      <c r="G34" s="178"/>
      <c r="H34" s="20"/>
      <c r="I34" s="181"/>
      <c r="J34" s="180"/>
      <c r="K34" s="44"/>
      <c r="L34" s="181"/>
      <c r="M34" s="180"/>
      <c r="N34" s="43"/>
      <c r="O34" s="181"/>
      <c r="P34" s="180"/>
      <c r="Q34" s="43"/>
      <c r="R34" s="181"/>
      <c r="S34" s="180"/>
      <c r="T34" s="43"/>
      <c r="U34" s="181"/>
      <c r="V34" s="180"/>
      <c r="W34" s="43"/>
      <c r="X34" s="181"/>
      <c r="Y34" s="180"/>
      <c r="Z34" s="47"/>
      <c r="AA34" s="181"/>
      <c r="AB34" s="180"/>
      <c r="AC34" s="43"/>
      <c r="AD34" s="181"/>
      <c r="AE34" s="180"/>
      <c r="AF34" s="43"/>
      <c r="AG34" s="181"/>
      <c r="AH34" s="180"/>
      <c r="AI34" s="43"/>
      <c r="AJ34" s="181"/>
      <c r="AK34" s="180"/>
      <c r="AL34" s="47"/>
      <c r="AM34" s="181"/>
      <c r="AN34" s="180"/>
      <c r="AO34" s="47"/>
      <c r="AP34" s="181"/>
      <c r="AQ34" s="180"/>
      <c r="AR34" s="47"/>
      <c r="AS34" s="181"/>
      <c r="AT34" s="180"/>
      <c r="AU34" s="47"/>
      <c r="AV34" s="181"/>
      <c r="AW34" s="180"/>
      <c r="AX34" s="47"/>
      <c r="AY34" s="181"/>
      <c r="AZ34" s="180"/>
      <c r="BA34" s="47"/>
      <c r="BB34" s="181"/>
      <c r="BC34" s="180"/>
      <c r="BD34" s="47"/>
      <c r="BE34" s="181"/>
      <c r="BF34" s="180"/>
      <c r="BG34" s="47"/>
      <c r="BH34" s="181"/>
      <c r="BI34" s="180"/>
      <c r="BJ34" s="47"/>
      <c r="BK34" s="181"/>
      <c r="BL34" s="180"/>
      <c r="BM34" s="47"/>
      <c r="BN34" s="181"/>
      <c r="BO34" s="180"/>
      <c r="BP34" s="47"/>
      <c r="BQ34" s="178" t="str">
        <f t="shared" si="9"/>
        <v>Loan Proceeds</v>
      </c>
      <c r="BR34" s="178"/>
      <c r="BS34" s="178"/>
      <c r="BT34" s="11"/>
      <c r="BU34" s="9"/>
      <c r="BV34" s="9"/>
      <c r="BW34" s="158" t="s">
        <v>111</v>
      </c>
      <c r="BX34" s="55">
        <v>120</v>
      </c>
      <c r="BY34" s="55"/>
      <c r="BZ34" s="212" t="s">
        <v>67</v>
      </c>
      <c r="CA34" s="212"/>
      <c r="CB34" s="212"/>
      <c r="CC34" s="9"/>
      <c r="CD34" s="9"/>
      <c r="CE34" s="9"/>
      <c r="CF34" s="9"/>
      <c r="CG34" s="9"/>
      <c r="CH34" s="63"/>
      <c r="CI34" s="9"/>
      <c r="CJ34" s="9"/>
    </row>
    <row r="35" spans="1:88" ht="13.75" customHeight="1" x14ac:dyDescent="0.15">
      <c r="A35" s="9"/>
      <c r="B35" s="9"/>
      <c r="C35" s="9"/>
      <c r="D35" s="9"/>
      <c r="E35" s="210" t="s">
        <v>23</v>
      </c>
      <c r="F35" s="210"/>
      <c r="G35" s="210"/>
      <c r="H35" s="20"/>
      <c r="I35" s="182"/>
      <c r="J35" s="177"/>
      <c r="K35" s="43"/>
      <c r="L35" s="182"/>
      <c r="M35" s="177"/>
      <c r="N35" s="43"/>
      <c r="O35" s="182"/>
      <c r="P35" s="177"/>
      <c r="Q35" s="43"/>
      <c r="R35" s="182"/>
      <c r="S35" s="177"/>
      <c r="T35" s="43"/>
      <c r="U35" s="182"/>
      <c r="V35" s="177"/>
      <c r="W35" s="43"/>
      <c r="X35" s="182"/>
      <c r="Y35" s="177"/>
      <c r="Z35" s="43"/>
      <c r="AA35" s="182"/>
      <c r="AB35" s="177"/>
      <c r="AC35" s="43"/>
      <c r="AD35" s="182"/>
      <c r="AE35" s="177"/>
      <c r="AF35" s="43"/>
      <c r="AG35" s="182"/>
      <c r="AH35" s="177"/>
      <c r="AI35" s="43"/>
      <c r="AJ35" s="182"/>
      <c r="AK35" s="177"/>
      <c r="AL35" s="43"/>
      <c r="AM35" s="182"/>
      <c r="AN35" s="177"/>
      <c r="AO35" s="43"/>
      <c r="AP35" s="182"/>
      <c r="AQ35" s="177"/>
      <c r="AR35" s="43"/>
      <c r="AS35" s="182"/>
      <c r="AT35" s="177"/>
      <c r="AU35" s="43"/>
      <c r="AV35" s="182"/>
      <c r="AW35" s="177"/>
      <c r="AX35" s="43"/>
      <c r="AY35" s="182"/>
      <c r="AZ35" s="177"/>
      <c r="BA35" s="43"/>
      <c r="BB35" s="182"/>
      <c r="BC35" s="177"/>
      <c r="BD35" s="43"/>
      <c r="BE35" s="182"/>
      <c r="BF35" s="177"/>
      <c r="BG35" s="43"/>
      <c r="BH35" s="182"/>
      <c r="BI35" s="177"/>
      <c r="BJ35" s="43"/>
      <c r="BK35" s="182"/>
      <c r="BL35" s="177"/>
      <c r="BM35" s="43"/>
      <c r="BN35" s="182"/>
      <c r="BO35" s="177"/>
      <c r="BP35" s="43"/>
      <c r="BQ35" s="210" t="str">
        <f t="shared" si="9"/>
        <v>Withholdings</v>
      </c>
      <c r="BR35" s="210"/>
      <c r="BS35" s="210"/>
      <c r="BT35" s="11"/>
      <c r="BU35" s="9"/>
      <c r="BV35" s="9"/>
      <c r="BW35" s="50"/>
      <c r="BX35" s="51"/>
      <c r="BY35" s="51"/>
      <c r="BZ35" s="51"/>
      <c r="CA35" s="52"/>
      <c r="CB35" s="50"/>
      <c r="CC35" s="9"/>
      <c r="CD35" s="9"/>
      <c r="CE35" s="9"/>
      <c r="CF35" s="9"/>
      <c r="CG35" s="9"/>
      <c r="CH35" s="61"/>
      <c r="CI35" s="9"/>
      <c r="CJ35" s="9"/>
    </row>
    <row r="36" spans="1:88" ht="13.75" customHeight="1" thickBot="1" x14ac:dyDescent="0.2">
      <c r="A36" s="9"/>
      <c r="B36" s="9"/>
      <c r="C36" s="9"/>
      <c r="D36" s="9"/>
      <c r="E36" s="178" t="s">
        <v>24</v>
      </c>
      <c r="F36" s="178"/>
      <c r="G36" s="178"/>
      <c r="H36" s="20"/>
      <c r="I36" s="176"/>
      <c r="J36" s="177"/>
      <c r="K36" s="43"/>
      <c r="L36" s="176"/>
      <c r="M36" s="177"/>
      <c r="N36" s="43"/>
      <c r="O36" s="176"/>
      <c r="P36" s="177"/>
      <c r="Q36" s="43"/>
      <c r="R36" s="176"/>
      <c r="S36" s="177"/>
      <c r="T36" s="43"/>
      <c r="U36" s="176"/>
      <c r="V36" s="177"/>
      <c r="W36" s="43"/>
      <c r="X36" s="176"/>
      <c r="Y36" s="177"/>
      <c r="Z36" s="43"/>
      <c r="AA36" s="176"/>
      <c r="AB36" s="177"/>
      <c r="AC36" s="43"/>
      <c r="AD36" s="176"/>
      <c r="AE36" s="177"/>
      <c r="AF36" s="43"/>
      <c r="AG36" s="176"/>
      <c r="AH36" s="177"/>
      <c r="AI36" s="43"/>
      <c r="AJ36" s="176"/>
      <c r="AK36" s="177"/>
      <c r="AL36" s="43"/>
      <c r="AM36" s="176"/>
      <c r="AN36" s="177"/>
      <c r="AO36" s="43"/>
      <c r="AP36" s="176"/>
      <c r="AQ36" s="177"/>
      <c r="AR36" s="43"/>
      <c r="AS36" s="176"/>
      <c r="AT36" s="177"/>
      <c r="AU36" s="43"/>
      <c r="AV36" s="176"/>
      <c r="AW36" s="177"/>
      <c r="AX36" s="43"/>
      <c r="AY36" s="176"/>
      <c r="AZ36" s="177"/>
      <c r="BA36" s="43"/>
      <c r="BB36" s="176"/>
      <c r="BC36" s="177"/>
      <c r="BD36" s="43"/>
      <c r="BE36" s="176"/>
      <c r="BF36" s="177"/>
      <c r="BG36" s="43"/>
      <c r="BH36" s="176"/>
      <c r="BI36" s="177"/>
      <c r="BJ36" s="43"/>
      <c r="BK36" s="176"/>
      <c r="BL36" s="177"/>
      <c r="BM36" s="45"/>
      <c r="BN36" s="176"/>
      <c r="BO36" s="177"/>
      <c r="BP36" s="45"/>
      <c r="BQ36" s="178" t="str">
        <f>E36</f>
        <v>Train Sales</v>
      </c>
      <c r="BR36" s="178"/>
      <c r="BS36" s="178"/>
      <c r="BT36" s="11"/>
      <c r="BU36" s="9"/>
      <c r="BV36" s="9"/>
      <c r="BW36" s="50"/>
      <c r="BX36" s="51"/>
      <c r="BY36" s="51"/>
      <c r="BZ36" s="51"/>
      <c r="CA36" s="52"/>
      <c r="CB36" s="50"/>
      <c r="CC36" s="9"/>
      <c r="CD36" s="9"/>
      <c r="CE36" s="9"/>
      <c r="CF36" s="9"/>
      <c r="CG36" s="9"/>
      <c r="CH36" s="9"/>
      <c r="CI36" s="9"/>
      <c r="CJ36" s="9"/>
    </row>
    <row r="37" spans="1:88" ht="13.75" customHeight="1" x14ac:dyDescent="0.15">
      <c r="A37" s="9"/>
      <c r="B37" s="9"/>
      <c r="C37" s="9"/>
      <c r="D37" s="9"/>
      <c r="E37" s="210" t="s">
        <v>104</v>
      </c>
      <c r="F37" s="210"/>
      <c r="G37" s="210"/>
      <c r="H37" s="20"/>
      <c r="I37" s="182"/>
      <c r="J37" s="177"/>
      <c r="K37" s="43"/>
      <c r="L37" s="182"/>
      <c r="M37" s="177"/>
      <c r="N37" s="43"/>
      <c r="O37" s="182"/>
      <c r="P37" s="177"/>
      <c r="Q37" s="43"/>
      <c r="R37" s="182"/>
      <c r="S37" s="177"/>
      <c r="T37" s="43"/>
      <c r="U37" s="182"/>
      <c r="V37" s="177"/>
      <c r="W37" s="43"/>
      <c r="X37" s="182"/>
      <c r="Y37" s="177"/>
      <c r="Z37" s="43"/>
      <c r="AA37" s="182"/>
      <c r="AB37" s="177"/>
      <c r="AC37" s="43"/>
      <c r="AD37" s="182"/>
      <c r="AE37" s="177"/>
      <c r="AF37" s="43"/>
      <c r="AG37" s="182"/>
      <c r="AH37" s="177"/>
      <c r="AI37" s="43"/>
      <c r="AJ37" s="182"/>
      <c r="AK37" s="177"/>
      <c r="AL37" s="43"/>
      <c r="AM37" s="182"/>
      <c r="AN37" s="177"/>
      <c r="AO37" s="43"/>
      <c r="AP37" s="182"/>
      <c r="AQ37" s="177"/>
      <c r="AR37" s="43"/>
      <c r="AS37" s="182"/>
      <c r="AT37" s="177"/>
      <c r="AU37" s="43"/>
      <c r="AV37" s="182"/>
      <c r="AW37" s="177"/>
      <c r="AX37" s="43"/>
      <c r="AY37" s="182"/>
      <c r="AZ37" s="177"/>
      <c r="BA37" s="43"/>
      <c r="BB37" s="182"/>
      <c r="BC37" s="177"/>
      <c r="BD37" s="43"/>
      <c r="BE37" s="182"/>
      <c r="BF37" s="177"/>
      <c r="BG37" s="43"/>
      <c r="BH37" s="182"/>
      <c r="BI37" s="177"/>
      <c r="BJ37" s="43"/>
      <c r="BK37" s="182"/>
      <c r="BL37" s="177"/>
      <c r="BM37" s="43"/>
      <c r="BN37" s="182"/>
      <c r="BO37" s="177"/>
      <c r="BP37" s="43"/>
      <c r="BQ37" s="210" t="str">
        <f>E37</f>
        <v>Share Sales</v>
      </c>
      <c r="BR37" s="210"/>
      <c r="BS37" s="210"/>
      <c r="BT37" s="11"/>
      <c r="BU37" s="9"/>
      <c r="BV37" s="9"/>
      <c r="BW37" s="50"/>
      <c r="BX37" s="51"/>
      <c r="BY37" s="51"/>
      <c r="BZ37" s="51"/>
      <c r="CA37" s="52"/>
      <c r="CB37" s="50"/>
      <c r="CC37" s="9"/>
      <c r="CD37" s="9"/>
      <c r="CE37" s="9"/>
      <c r="CF37" s="9"/>
      <c r="CG37" s="9"/>
      <c r="CH37" s="61"/>
      <c r="CI37" s="9"/>
      <c r="CJ37" s="9"/>
    </row>
    <row r="38" spans="1:88" ht="13.75" customHeight="1" thickBot="1" x14ac:dyDescent="0.2">
      <c r="A38" s="9"/>
      <c r="B38" s="9"/>
      <c r="C38" s="9"/>
      <c r="D38" s="9"/>
      <c r="E38" s="174" t="s">
        <v>112</v>
      </c>
      <c r="F38" s="174"/>
      <c r="G38" s="174"/>
      <c r="H38" s="27"/>
      <c r="I38" s="172"/>
      <c r="J38" s="173"/>
      <c r="K38" s="45"/>
      <c r="L38" s="172"/>
      <c r="M38" s="173"/>
      <c r="N38" s="45"/>
      <c r="O38" s="172"/>
      <c r="P38" s="173"/>
      <c r="Q38" s="45"/>
      <c r="R38" s="172"/>
      <c r="S38" s="173"/>
      <c r="T38" s="45"/>
      <c r="U38" s="172"/>
      <c r="V38" s="173"/>
      <c r="W38" s="45"/>
      <c r="X38" s="172"/>
      <c r="Y38" s="173"/>
      <c r="Z38" s="45"/>
      <c r="AA38" s="172"/>
      <c r="AB38" s="173"/>
      <c r="AC38" s="45"/>
      <c r="AD38" s="172"/>
      <c r="AE38" s="173"/>
      <c r="AF38" s="45"/>
      <c r="AG38" s="172"/>
      <c r="AH38" s="173"/>
      <c r="AI38" s="45"/>
      <c r="AJ38" s="172"/>
      <c r="AK38" s="173"/>
      <c r="AL38" s="45"/>
      <c r="AM38" s="172"/>
      <c r="AN38" s="173"/>
      <c r="AO38" s="45"/>
      <c r="AP38" s="172"/>
      <c r="AQ38" s="173"/>
      <c r="AR38" s="45"/>
      <c r="AS38" s="172"/>
      <c r="AT38" s="173"/>
      <c r="AU38" s="45"/>
      <c r="AV38" s="172"/>
      <c r="AW38" s="173"/>
      <c r="AX38" s="45"/>
      <c r="AY38" s="172"/>
      <c r="AZ38" s="173"/>
      <c r="BA38" s="45"/>
      <c r="BB38" s="172"/>
      <c r="BC38" s="173"/>
      <c r="BD38" s="45"/>
      <c r="BE38" s="172"/>
      <c r="BF38" s="173"/>
      <c r="BG38" s="45"/>
      <c r="BH38" s="172"/>
      <c r="BI38" s="173"/>
      <c r="BJ38" s="45"/>
      <c r="BK38" s="172"/>
      <c r="BL38" s="173"/>
      <c r="BM38" s="45"/>
      <c r="BN38" s="172"/>
      <c r="BO38" s="173"/>
      <c r="BP38" s="45"/>
      <c r="BQ38" s="174" t="str">
        <f>E38</f>
        <v>Other Capital</v>
      </c>
      <c r="BR38" s="174"/>
      <c r="BS38" s="174"/>
      <c r="BT38" s="11"/>
      <c r="BU38" s="9"/>
      <c r="BV38" s="9"/>
      <c r="BW38" s="50"/>
      <c r="BX38" s="51"/>
      <c r="BY38" s="51"/>
      <c r="BZ38" s="51"/>
      <c r="CA38" s="52"/>
      <c r="CB38" s="50"/>
      <c r="CC38" s="9"/>
      <c r="CD38" s="9"/>
      <c r="CE38" s="9"/>
      <c r="CF38" s="9"/>
      <c r="CG38" s="9"/>
      <c r="CH38" s="9"/>
      <c r="CI38" s="9"/>
      <c r="CJ38" s="9"/>
    </row>
    <row r="39" spans="1:88" ht="13.75" customHeight="1" x14ac:dyDescent="0.15">
      <c r="A39" s="9"/>
      <c r="B39" s="9"/>
      <c r="C39" s="9"/>
      <c r="D39" s="9"/>
      <c r="E39" s="283" t="s">
        <v>25</v>
      </c>
      <c r="F39" s="283"/>
      <c r="G39" s="283"/>
      <c r="H39" s="9"/>
      <c r="I39" s="175">
        <f>SUM(I24:I38)</f>
        <v>0</v>
      </c>
      <c r="J39" s="175"/>
      <c r="K39" s="39"/>
      <c r="L39" s="175">
        <f>SUM(L24:L38)</f>
        <v>0</v>
      </c>
      <c r="M39" s="175"/>
      <c r="N39" s="39"/>
      <c r="O39" s="175">
        <f>SUM(O24:O38)</f>
        <v>0</v>
      </c>
      <c r="P39" s="175"/>
      <c r="Q39" s="39"/>
      <c r="R39" s="175">
        <f>SUM(R24:R38)</f>
        <v>0</v>
      </c>
      <c r="S39" s="175"/>
      <c r="T39" s="39"/>
      <c r="U39" s="175">
        <f>SUM(U24:U38)</f>
        <v>0</v>
      </c>
      <c r="V39" s="175"/>
      <c r="W39" s="39"/>
      <c r="X39" s="175">
        <f>SUM(X24:X38)</f>
        <v>0</v>
      </c>
      <c r="Y39" s="175"/>
      <c r="Z39" s="48"/>
      <c r="AA39" s="175">
        <f>SUM(AA24:AA38)</f>
        <v>0</v>
      </c>
      <c r="AB39" s="175"/>
      <c r="AC39" s="39"/>
      <c r="AD39" s="175">
        <f>SUM(AD24:AD38)</f>
        <v>0</v>
      </c>
      <c r="AE39" s="175"/>
      <c r="AF39" s="39"/>
      <c r="AG39" s="175">
        <f>SUM(AG24:AG38)</f>
        <v>0</v>
      </c>
      <c r="AH39" s="175"/>
      <c r="AI39" s="39"/>
      <c r="AJ39" s="175">
        <f>SUM(AJ24:AJ38)</f>
        <v>0</v>
      </c>
      <c r="AK39" s="175"/>
      <c r="AL39" s="48"/>
      <c r="AM39" s="175">
        <f>SUM(AM24:AM38)</f>
        <v>0</v>
      </c>
      <c r="AN39" s="175"/>
      <c r="AO39" s="48"/>
      <c r="AP39" s="175">
        <f>SUM(AP24:AP38)</f>
        <v>0</v>
      </c>
      <c r="AQ39" s="175"/>
      <c r="AR39" s="48"/>
      <c r="AS39" s="175">
        <f>SUM(AS24:AS38)</f>
        <v>0</v>
      </c>
      <c r="AT39" s="175"/>
      <c r="AU39" s="48"/>
      <c r="AV39" s="175">
        <f>SUM(AV24:AV38)</f>
        <v>0</v>
      </c>
      <c r="AW39" s="175"/>
      <c r="AX39" s="48"/>
      <c r="AY39" s="175">
        <f>SUM(AY24:AY38)</f>
        <v>0</v>
      </c>
      <c r="AZ39" s="175"/>
      <c r="BA39" s="48"/>
      <c r="BB39" s="175">
        <f>SUM(BB24:BB38)</f>
        <v>0</v>
      </c>
      <c r="BC39" s="175"/>
      <c r="BD39" s="48"/>
      <c r="BE39" s="175">
        <f>SUM(BE24:BE38)</f>
        <v>0</v>
      </c>
      <c r="BF39" s="175"/>
      <c r="BG39" s="48"/>
      <c r="BH39" s="175">
        <f>SUM(BH24:BH38)</f>
        <v>0</v>
      </c>
      <c r="BI39" s="175"/>
      <c r="BJ39" s="48"/>
      <c r="BK39" s="175">
        <f>SUM(BK24:BK38)</f>
        <v>0</v>
      </c>
      <c r="BL39" s="175"/>
      <c r="BM39" s="48"/>
      <c r="BN39" s="175">
        <f>SUM(BN24:BN38)</f>
        <v>0</v>
      </c>
      <c r="BO39" s="175"/>
      <c r="BP39" s="48"/>
      <c r="BQ39" s="283" t="str">
        <f>E39</f>
        <v>Costs/Profits</v>
      </c>
      <c r="BR39" s="283"/>
      <c r="BS39" s="283"/>
      <c r="BT39" s="12"/>
      <c r="BU39" s="9"/>
      <c r="BV39" s="9"/>
      <c r="BW39" s="50"/>
      <c r="BX39" s="51"/>
      <c r="BY39" s="51"/>
      <c r="BZ39" s="51"/>
      <c r="CA39" s="52"/>
      <c r="CB39" s="50"/>
      <c r="CC39" s="9"/>
      <c r="CD39" s="9"/>
      <c r="CE39" s="9"/>
      <c r="CF39" s="9"/>
      <c r="CG39" s="9"/>
      <c r="CH39" s="9"/>
      <c r="CI39" s="9"/>
      <c r="CJ39" s="9"/>
    </row>
    <row r="40" spans="1:88" ht="2.75" customHeight="1" x14ac:dyDescent="0.15">
      <c r="A40" s="9"/>
      <c r="B40" s="9"/>
      <c r="C40" s="9"/>
      <c r="D40" s="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</row>
  </sheetData>
  <sheetProtection formatCells="0" selectLockedCells="1"/>
  <mergeCells count="693">
    <mergeCell ref="BK26:BL26"/>
    <mergeCell ref="BK27:BL27"/>
    <mergeCell ref="BK28:BL28"/>
    <mergeCell ref="BK29:BL29"/>
    <mergeCell ref="BK30:BL30"/>
    <mergeCell ref="BK31:BL31"/>
    <mergeCell ref="BK32:BL32"/>
    <mergeCell ref="BK33:BL33"/>
    <mergeCell ref="BK34:BL34"/>
    <mergeCell ref="BE32:BF32"/>
    <mergeCell ref="BE33:BF33"/>
    <mergeCell ref="BE34:BF34"/>
    <mergeCell ref="BE35:BF35"/>
    <mergeCell ref="BE36:BF36"/>
    <mergeCell ref="BE37:BF37"/>
    <mergeCell ref="BE38:BF38"/>
    <mergeCell ref="BE39:BF39"/>
    <mergeCell ref="BK2:BL2"/>
    <mergeCell ref="BK11:BL11"/>
    <mergeCell ref="BK12:BL12"/>
    <mergeCell ref="BK13:BL13"/>
    <mergeCell ref="BK14:BL14"/>
    <mergeCell ref="BK15:BL15"/>
    <mergeCell ref="BK16:BL16"/>
    <mergeCell ref="BK17:BL17"/>
    <mergeCell ref="BK18:BL18"/>
    <mergeCell ref="BK19:BL19"/>
    <mergeCell ref="BK20:BL20"/>
    <mergeCell ref="BK21:BL21"/>
    <mergeCell ref="BK22:BL22"/>
    <mergeCell ref="BK23:BL23"/>
    <mergeCell ref="BK24:BL24"/>
    <mergeCell ref="BK25:BL25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2:BF2"/>
    <mergeCell ref="BE11:BF11"/>
    <mergeCell ref="BE12:BF12"/>
    <mergeCell ref="BE13:BF13"/>
    <mergeCell ref="BE14:BF14"/>
    <mergeCell ref="BE15:BF15"/>
    <mergeCell ref="BE16:BF16"/>
    <mergeCell ref="BE17:BF17"/>
    <mergeCell ref="BE18:BF18"/>
    <mergeCell ref="BZ34:CB34"/>
    <mergeCell ref="BW2:BX2"/>
    <mergeCell ref="BZ2:CB2"/>
    <mergeCell ref="BZ3:CB3"/>
    <mergeCell ref="BZ4:CB4"/>
    <mergeCell ref="BZ5:CB5"/>
    <mergeCell ref="BZ6:CB6"/>
    <mergeCell ref="BZ7:CB7"/>
    <mergeCell ref="BZ8:CB8"/>
    <mergeCell ref="BZ9:CB9"/>
    <mergeCell ref="BZ10:CB10"/>
    <mergeCell ref="BY26:CB26"/>
    <mergeCell ref="BY27:CB27"/>
    <mergeCell ref="BY28:CB28"/>
    <mergeCell ref="BY29:CB29"/>
    <mergeCell ref="BY30:CB30"/>
    <mergeCell ref="BY31:CB31"/>
    <mergeCell ref="BY32:CB32"/>
    <mergeCell ref="BY33:CB33"/>
    <mergeCell ref="BW22:CB22"/>
    <mergeCell ref="BQ32:BS32"/>
    <mergeCell ref="BN39:BO39"/>
    <mergeCell ref="BN28:BO28"/>
    <mergeCell ref="BN30:BO30"/>
    <mergeCell ref="BN31:BO31"/>
    <mergeCell ref="BN33:BO33"/>
    <mergeCell ref="BN34:BO34"/>
    <mergeCell ref="BN35:BO35"/>
    <mergeCell ref="BH31:BI31"/>
    <mergeCell ref="BH34:BI34"/>
    <mergeCell ref="BH30:BI30"/>
    <mergeCell ref="BH28:BI28"/>
    <mergeCell ref="BK35:BL35"/>
    <mergeCell ref="BK36:BL36"/>
    <mergeCell ref="BK37:BL37"/>
    <mergeCell ref="BK38:BL38"/>
    <mergeCell ref="BK39:BL39"/>
    <mergeCell ref="E32:G32"/>
    <mergeCell ref="I32:J32"/>
    <mergeCell ref="L32:M32"/>
    <mergeCell ref="O32:P32"/>
    <mergeCell ref="R32:S32"/>
    <mergeCell ref="U32:V32"/>
    <mergeCell ref="X32:Y32"/>
    <mergeCell ref="AY32:AZ32"/>
    <mergeCell ref="BB32:BC32"/>
    <mergeCell ref="AY36:AZ36"/>
    <mergeCell ref="BB36:BC36"/>
    <mergeCell ref="BN11:BO11"/>
    <mergeCell ref="BN12:BO12"/>
    <mergeCell ref="BN13:BO13"/>
    <mergeCell ref="BN15:BO15"/>
    <mergeCell ref="BN20:BO20"/>
    <mergeCell ref="BN21:BO21"/>
    <mergeCell ref="BN22:BO22"/>
    <mergeCell ref="BN23:BO23"/>
    <mergeCell ref="BN24:BO24"/>
    <mergeCell ref="BN25:BO25"/>
    <mergeCell ref="BN36:BO36"/>
    <mergeCell ref="BH32:BI32"/>
    <mergeCell ref="BN32:BO32"/>
    <mergeCell ref="BB34:BC34"/>
    <mergeCell ref="BB35:BC35"/>
    <mergeCell ref="BB31:BC31"/>
    <mergeCell ref="AY33:AZ33"/>
    <mergeCell ref="AY34:AZ34"/>
    <mergeCell ref="AY35:AZ35"/>
    <mergeCell ref="AY31:AZ31"/>
    <mergeCell ref="BB28:BC28"/>
    <mergeCell ref="BH17:BI17"/>
    <mergeCell ref="E39:G39"/>
    <mergeCell ref="I39:J39"/>
    <mergeCell ref="L39:M39"/>
    <mergeCell ref="E31:G31"/>
    <mergeCell ref="BQ31:BS31"/>
    <mergeCell ref="E33:G33"/>
    <mergeCell ref="BQ33:BS33"/>
    <mergeCell ref="BB33:BC33"/>
    <mergeCell ref="BH33:BI33"/>
    <mergeCell ref="E34:G34"/>
    <mergeCell ref="BQ34:BS34"/>
    <mergeCell ref="E35:G35"/>
    <mergeCell ref="BQ35:BS35"/>
    <mergeCell ref="BH35:BI35"/>
    <mergeCell ref="AA39:AB39"/>
    <mergeCell ref="AD39:AE39"/>
    <mergeCell ref="AG39:AH39"/>
    <mergeCell ref="AJ39:AK39"/>
    <mergeCell ref="BB39:BC39"/>
    <mergeCell ref="BH39:BI39"/>
    <mergeCell ref="AY39:AZ39"/>
    <mergeCell ref="BQ39:BS39"/>
    <mergeCell ref="BH36:BI36"/>
    <mergeCell ref="BQ36:BS36"/>
    <mergeCell ref="E28:G28"/>
    <mergeCell ref="BQ28:BS28"/>
    <mergeCell ref="E30:G30"/>
    <mergeCell ref="BQ30:BS30"/>
    <mergeCell ref="E24:G24"/>
    <mergeCell ref="BQ24:BS24"/>
    <mergeCell ref="E25:G25"/>
    <mergeCell ref="BQ25:BS25"/>
    <mergeCell ref="I24:J24"/>
    <mergeCell ref="BH25:BI25"/>
    <mergeCell ref="BB24:BC24"/>
    <mergeCell ref="I28:J28"/>
    <mergeCell ref="I30:J30"/>
    <mergeCell ref="L28:M28"/>
    <mergeCell ref="L30:M30"/>
    <mergeCell ref="AA30:AB30"/>
    <mergeCell ref="AD30:AE30"/>
    <mergeCell ref="AY30:AZ30"/>
    <mergeCell ref="AY25:AZ25"/>
    <mergeCell ref="AY28:AZ28"/>
    <mergeCell ref="AJ25:AK25"/>
    <mergeCell ref="I25:J25"/>
    <mergeCell ref="L25:M25"/>
    <mergeCell ref="AA25:AB25"/>
    <mergeCell ref="E15:G15"/>
    <mergeCell ref="BN16:BO16"/>
    <mergeCell ref="BN19:BO19"/>
    <mergeCell ref="B21:D23"/>
    <mergeCell ref="E21:G21"/>
    <mergeCell ref="BQ21:BS21"/>
    <mergeCell ref="E22:G22"/>
    <mergeCell ref="BQ22:BS22"/>
    <mergeCell ref="E23:G23"/>
    <mergeCell ref="BQ23:BS23"/>
    <mergeCell ref="AG21:AH21"/>
    <mergeCell ref="AJ21:AK21"/>
    <mergeCell ref="AY21:AZ21"/>
    <mergeCell ref="BQ19:BS19"/>
    <mergeCell ref="BH19:BI19"/>
    <mergeCell ref="BH20:BI20"/>
    <mergeCell ref="BH21:BI21"/>
    <mergeCell ref="BH22:BI22"/>
    <mergeCell ref="BH23:BI23"/>
    <mergeCell ref="AA15:AB15"/>
    <mergeCell ref="O16:P16"/>
    <mergeCell ref="I16:J16"/>
    <mergeCell ref="L16:M16"/>
    <mergeCell ref="E18:G18"/>
    <mergeCell ref="E11:G11"/>
    <mergeCell ref="BQ11:BS11"/>
    <mergeCell ref="E13:G13"/>
    <mergeCell ref="BQ13:BS13"/>
    <mergeCell ref="AY11:AZ11"/>
    <mergeCell ref="BW11:BZ11"/>
    <mergeCell ref="E14:G14"/>
    <mergeCell ref="BQ14:BS14"/>
    <mergeCell ref="D2:E2"/>
    <mergeCell ref="I2:J2"/>
    <mergeCell ref="L2:M2"/>
    <mergeCell ref="AA2:AB2"/>
    <mergeCell ref="BS2:BU2"/>
    <mergeCell ref="AD2:AE2"/>
    <mergeCell ref="AG2:AH2"/>
    <mergeCell ref="AJ2:AK2"/>
    <mergeCell ref="AY2:AZ2"/>
    <mergeCell ref="BH2:BI2"/>
    <mergeCell ref="BB2:BC2"/>
    <mergeCell ref="BN2:BO2"/>
    <mergeCell ref="D11:D13"/>
    <mergeCell ref="BU11:BU13"/>
    <mergeCell ref="I11:J11"/>
    <mergeCell ref="L11:M11"/>
    <mergeCell ref="BQ15:BS15"/>
    <mergeCell ref="BQ12:BS12"/>
    <mergeCell ref="AJ12:AK12"/>
    <mergeCell ref="AY12:AZ12"/>
    <mergeCell ref="BB15:BC15"/>
    <mergeCell ref="BH15:BI15"/>
    <mergeCell ref="AD15:AE15"/>
    <mergeCell ref="AG15:AH15"/>
    <mergeCell ref="AA14:AB14"/>
    <mergeCell ref="AD14:AE14"/>
    <mergeCell ref="AG14:AH14"/>
    <mergeCell ref="AJ14:AK14"/>
    <mergeCell ref="AY14:AZ14"/>
    <mergeCell ref="BB14:BC14"/>
    <mergeCell ref="BH12:BI12"/>
    <mergeCell ref="AD12:AE12"/>
    <mergeCell ref="AG12:AH12"/>
    <mergeCell ref="BH13:BI13"/>
    <mergeCell ref="BB13:BC13"/>
    <mergeCell ref="AM13:AN13"/>
    <mergeCell ref="AP13:AQ13"/>
    <mergeCell ref="AS13:AT13"/>
    <mergeCell ref="AV13:AW13"/>
    <mergeCell ref="AM14:AN14"/>
    <mergeCell ref="AA11:AB11"/>
    <mergeCell ref="AD11:AE11"/>
    <mergeCell ref="AG11:AH11"/>
    <mergeCell ref="AJ11:AK11"/>
    <mergeCell ref="BB11:BC11"/>
    <mergeCell ref="BH11:BI11"/>
    <mergeCell ref="E16:G16"/>
    <mergeCell ref="BQ16:BS16"/>
    <mergeCell ref="BH16:BI16"/>
    <mergeCell ref="R16:S16"/>
    <mergeCell ref="U16:V16"/>
    <mergeCell ref="X16:Y16"/>
    <mergeCell ref="AJ16:AK16"/>
    <mergeCell ref="AY16:AZ16"/>
    <mergeCell ref="BB16:BC16"/>
    <mergeCell ref="AD16:AE16"/>
    <mergeCell ref="AG16:AH16"/>
    <mergeCell ref="AA16:AB16"/>
    <mergeCell ref="E12:G12"/>
    <mergeCell ref="I12:J12"/>
    <mergeCell ref="L12:M12"/>
    <mergeCell ref="AA12:AB12"/>
    <mergeCell ref="BB12:BC12"/>
    <mergeCell ref="O15:P15"/>
    <mergeCell ref="AY22:AZ22"/>
    <mergeCell ref="L22:M22"/>
    <mergeCell ref="AA22:AB22"/>
    <mergeCell ref="AD22:AE22"/>
    <mergeCell ref="AG13:AH13"/>
    <mergeCell ref="AJ13:AK13"/>
    <mergeCell ref="AY13:AZ13"/>
    <mergeCell ref="AY15:AZ15"/>
    <mergeCell ref="AJ19:AK19"/>
    <mergeCell ref="AY19:AZ19"/>
    <mergeCell ref="AJ15:AK15"/>
    <mergeCell ref="AG17:AH17"/>
    <mergeCell ref="AJ17:AK17"/>
    <mergeCell ref="AY17:AZ17"/>
    <mergeCell ref="AJ18:AK18"/>
    <mergeCell ref="AY18:AZ18"/>
    <mergeCell ref="AJ20:AK20"/>
    <mergeCell ref="AY20:AZ20"/>
    <mergeCell ref="AG22:AH22"/>
    <mergeCell ref="AJ22:AK22"/>
    <mergeCell ref="X22:Y22"/>
    <mergeCell ref="L18:M18"/>
    <mergeCell ref="O18:P18"/>
    <mergeCell ref="R18:S18"/>
    <mergeCell ref="AG19:AH19"/>
    <mergeCell ref="AA20:AB20"/>
    <mergeCell ref="AD20:AE20"/>
    <mergeCell ref="L21:M21"/>
    <mergeCell ref="I13:J13"/>
    <mergeCell ref="L13:M13"/>
    <mergeCell ref="AA13:AB13"/>
    <mergeCell ref="AD13:AE13"/>
    <mergeCell ref="I14:J14"/>
    <mergeCell ref="L14:M14"/>
    <mergeCell ref="O14:P14"/>
    <mergeCell ref="R14:S14"/>
    <mergeCell ref="U14:V14"/>
    <mergeCell ref="X14:Y14"/>
    <mergeCell ref="R15:S15"/>
    <mergeCell ref="U15:V15"/>
    <mergeCell ref="I18:J18"/>
    <mergeCell ref="U18:V18"/>
    <mergeCell ref="X18:Y18"/>
    <mergeCell ref="AA18:AB18"/>
    <mergeCell ref="AD18:AE18"/>
    <mergeCell ref="AG18:AH18"/>
    <mergeCell ref="AG20:AH20"/>
    <mergeCell ref="I22:J22"/>
    <mergeCell ref="I20:J20"/>
    <mergeCell ref="I19:J19"/>
    <mergeCell ref="I21:J21"/>
    <mergeCell ref="AA21:AB21"/>
    <mergeCell ref="AD21:AE21"/>
    <mergeCell ref="R20:S20"/>
    <mergeCell ref="U20:V20"/>
    <mergeCell ref="L20:M20"/>
    <mergeCell ref="O20:P20"/>
    <mergeCell ref="L19:M19"/>
    <mergeCell ref="AA19:AB19"/>
    <mergeCell ref="AD19:AE19"/>
    <mergeCell ref="X20:Y20"/>
    <mergeCell ref="O23:P23"/>
    <mergeCell ref="R23:S23"/>
    <mergeCell ref="U23:V23"/>
    <mergeCell ref="X23:Y23"/>
    <mergeCell ref="X24:Y24"/>
    <mergeCell ref="AY24:AZ24"/>
    <mergeCell ref="AA23:AB23"/>
    <mergeCell ref="AD23:AE23"/>
    <mergeCell ref="AY23:AZ23"/>
    <mergeCell ref="AM23:AN23"/>
    <mergeCell ref="AP23:AQ23"/>
    <mergeCell ref="AS23:AT23"/>
    <mergeCell ref="AV23:AW23"/>
    <mergeCell ref="AP24:AQ24"/>
    <mergeCell ref="AS24:AT24"/>
    <mergeCell ref="AV24:AW24"/>
    <mergeCell ref="AG25:AH25"/>
    <mergeCell ref="AD28:AE28"/>
    <mergeCell ref="AA28:AB28"/>
    <mergeCell ref="AA26:AB26"/>
    <mergeCell ref="AD26:AE26"/>
    <mergeCell ref="AG24:AH24"/>
    <mergeCell ref="AG23:AH23"/>
    <mergeCell ref="AJ23:AK23"/>
    <mergeCell ref="AJ24:AK24"/>
    <mergeCell ref="L24:M24"/>
    <mergeCell ref="AA24:AB24"/>
    <mergeCell ref="AD24:AE24"/>
    <mergeCell ref="L31:M31"/>
    <mergeCell ref="AA31:AB31"/>
    <mergeCell ref="O31:P31"/>
    <mergeCell ref="R31:S31"/>
    <mergeCell ref="U31:V31"/>
    <mergeCell ref="X31:Y31"/>
    <mergeCell ref="O28:P28"/>
    <mergeCell ref="R28:S28"/>
    <mergeCell ref="U28:V28"/>
    <mergeCell ref="AD25:AE25"/>
    <mergeCell ref="AJ31:AK31"/>
    <mergeCell ref="AJ34:AK34"/>
    <mergeCell ref="AJ33:AK33"/>
    <mergeCell ref="AD33:AE33"/>
    <mergeCell ref="X28:Y28"/>
    <mergeCell ref="R30:S30"/>
    <mergeCell ref="U30:V30"/>
    <mergeCell ref="X30:Y30"/>
    <mergeCell ref="I31:J31"/>
    <mergeCell ref="AJ30:AK30"/>
    <mergeCell ref="AJ28:AK28"/>
    <mergeCell ref="AG28:AH28"/>
    <mergeCell ref="AD31:AE31"/>
    <mergeCell ref="AG33:AH33"/>
    <mergeCell ref="AG34:AH34"/>
    <mergeCell ref="AJ32:AK32"/>
    <mergeCell ref="AG35:AH35"/>
    <mergeCell ref="AG31:AH31"/>
    <mergeCell ref="AD36:AE36"/>
    <mergeCell ref="AG36:AH36"/>
    <mergeCell ref="AD35:AE35"/>
    <mergeCell ref="AD34:AE34"/>
    <mergeCell ref="AA32:AB32"/>
    <mergeCell ref="AD32:AE32"/>
    <mergeCell ref="AG32:AH32"/>
    <mergeCell ref="AA36:AB36"/>
    <mergeCell ref="I35:J35"/>
    <mergeCell ref="L33:M33"/>
    <mergeCell ref="L35:M35"/>
    <mergeCell ref="L34:M34"/>
    <mergeCell ref="AA35:AB35"/>
    <mergeCell ref="O33:P33"/>
    <mergeCell ref="X34:Y34"/>
    <mergeCell ref="I34:J34"/>
    <mergeCell ref="AA34:AB34"/>
    <mergeCell ref="AA33:AB33"/>
    <mergeCell ref="R33:S33"/>
    <mergeCell ref="U33:V33"/>
    <mergeCell ref="X33:Y33"/>
    <mergeCell ref="O34:P34"/>
    <mergeCell ref="R34:S34"/>
    <mergeCell ref="U34:V34"/>
    <mergeCell ref="I33:J33"/>
    <mergeCell ref="AJ35:AK35"/>
    <mergeCell ref="E29:G29"/>
    <mergeCell ref="I29:J29"/>
    <mergeCell ref="L29:M29"/>
    <mergeCell ref="AA29:AB29"/>
    <mergeCell ref="BB29:BC29"/>
    <mergeCell ref="BH29:BI29"/>
    <mergeCell ref="BQ29:BS29"/>
    <mergeCell ref="AD29:AE29"/>
    <mergeCell ref="AG29:AH29"/>
    <mergeCell ref="AJ29:AK29"/>
    <mergeCell ref="AY29:AZ29"/>
    <mergeCell ref="BN29:BO29"/>
    <mergeCell ref="O29:P29"/>
    <mergeCell ref="R29:S29"/>
    <mergeCell ref="U29:V29"/>
    <mergeCell ref="AM29:AN29"/>
    <mergeCell ref="AP29:AQ29"/>
    <mergeCell ref="AS29:AT29"/>
    <mergeCell ref="AV29:AW29"/>
    <mergeCell ref="BB30:BC30"/>
    <mergeCell ref="AG30:AH30"/>
    <mergeCell ref="O30:P30"/>
    <mergeCell ref="AM30:AN30"/>
    <mergeCell ref="BH27:BI27"/>
    <mergeCell ref="BN27:BO27"/>
    <mergeCell ref="BQ27:BS27"/>
    <mergeCell ref="O24:P24"/>
    <mergeCell ref="R24:S24"/>
    <mergeCell ref="U24:V24"/>
    <mergeCell ref="X29:Y29"/>
    <mergeCell ref="O26:P26"/>
    <mergeCell ref="R26:S26"/>
    <mergeCell ref="U26:V26"/>
    <mergeCell ref="X26:Y26"/>
    <mergeCell ref="O27:P27"/>
    <mergeCell ref="R27:S27"/>
    <mergeCell ref="U27:V27"/>
    <mergeCell ref="X27:Y27"/>
    <mergeCell ref="O25:P25"/>
    <mergeCell ref="R25:S25"/>
    <mergeCell ref="U25:V25"/>
    <mergeCell ref="X25:Y25"/>
    <mergeCell ref="AM26:AN26"/>
    <mergeCell ref="AM24:AN24"/>
    <mergeCell ref="AM25:AN25"/>
    <mergeCell ref="AP25:AQ25"/>
    <mergeCell ref="AS25:AT25"/>
    <mergeCell ref="B16:D20"/>
    <mergeCell ref="B11:B15"/>
    <mergeCell ref="E26:G26"/>
    <mergeCell ref="I26:J26"/>
    <mergeCell ref="L26:M26"/>
    <mergeCell ref="X19:Y19"/>
    <mergeCell ref="O19:P19"/>
    <mergeCell ref="R19:S19"/>
    <mergeCell ref="U19:V19"/>
    <mergeCell ref="I23:J23"/>
    <mergeCell ref="L23:M23"/>
    <mergeCell ref="X15:Y15"/>
    <mergeCell ref="I15:J15"/>
    <mergeCell ref="L15:M15"/>
    <mergeCell ref="E19:G19"/>
    <mergeCell ref="E20:G20"/>
    <mergeCell ref="X12:Y12"/>
    <mergeCell ref="O13:P13"/>
    <mergeCell ref="R13:S13"/>
    <mergeCell ref="U13:V13"/>
    <mergeCell ref="X13:Y13"/>
    <mergeCell ref="O22:P22"/>
    <mergeCell ref="R22:S22"/>
    <mergeCell ref="U22:V22"/>
    <mergeCell ref="CD13:CF13"/>
    <mergeCell ref="CD14:CF14"/>
    <mergeCell ref="BQ26:BS26"/>
    <mergeCell ref="E27:G27"/>
    <mergeCell ref="I27:J27"/>
    <mergeCell ref="L27:M27"/>
    <mergeCell ref="AA27:AB27"/>
    <mergeCell ref="AD27:AE27"/>
    <mergeCell ref="AG27:AH27"/>
    <mergeCell ref="AJ27:AK27"/>
    <mergeCell ref="AY27:AZ27"/>
    <mergeCell ref="BB27:BC27"/>
    <mergeCell ref="AG26:AH26"/>
    <mergeCell ref="AJ26:AK26"/>
    <mergeCell ref="AY26:AZ26"/>
    <mergeCell ref="BB26:BC26"/>
    <mergeCell ref="BH26:BI26"/>
    <mergeCell ref="BN26:BO26"/>
    <mergeCell ref="BH14:BI14"/>
    <mergeCell ref="BN14:BO14"/>
    <mergeCell ref="O21:P21"/>
    <mergeCell ref="R21:S21"/>
    <mergeCell ref="U21:V21"/>
    <mergeCell ref="X21:Y21"/>
    <mergeCell ref="O12:P12"/>
    <mergeCell ref="R12:S12"/>
    <mergeCell ref="U12:V12"/>
    <mergeCell ref="O2:P2"/>
    <mergeCell ref="R2:S2"/>
    <mergeCell ref="U2:V2"/>
    <mergeCell ref="X2:Y2"/>
    <mergeCell ref="O11:P11"/>
    <mergeCell ref="R11:S11"/>
    <mergeCell ref="U11:V11"/>
    <mergeCell ref="X11:Y11"/>
    <mergeCell ref="O39:P39"/>
    <mergeCell ref="R39:S39"/>
    <mergeCell ref="U39:V39"/>
    <mergeCell ref="X39:Y39"/>
    <mergeCell ref="O35:P35"/>
    <mergeCell ref="R35:S35"/>
    <mergeCell ref="U35:V35"/>
    <mergeCell ref="X35:Y35"/>
    <mergeCell ref="O36:P36"/>
    <mergeCell ref="R36:S36"/>
    <mergeCell ref="U36:V36"/>
    <mergeCell ref="X36:Y36"/>
    <mergeCell ref="E17:G17"/>
    <mergeCell ref="I17:J17"/>
    <mergeCell ref="L17:M17"/>
    <mergeCell ref="O17:P17"/>
    <mergeCell ref="R17:S17"/>
    <mergeCell ref="U17:V17"/>
    <mergeCell ref="X17:Y17"/>
    <mergeCell ref="AA17:AB17"/>
    <mergeCell ref="AD17:AE17"/>
    <mergeCell ref="BQ17:BS17"/>
    <mergeCell ref="BY23:CB23"/>
    <mergeCell ref="BY24:CB24"/>
    <mergeCell ref="BY25:CB25"/>
    <mergeCell ref="BB19:BC19"/>
    <mergeCell ref="BB22:BC22"/>
    <mergeCell ref="BB21:BC21"/>
    <mergeCell ref="BQ20:BS20"/>
    <mergeCell ref="BB18:BC18"/>
    <mergeCell ref="BQ18:BS18"/>
    <mergeCell ref="BH18:BI18"/>
    <mergeCell ref="BN18:BO18"/>
    <mergeCell ref="BY21:CB21"/>
    <mergeCell ref="BW21:BX21"/>
    <mergeCell ref="BB25:BC25"/>
    <mergeCell ref="BH24:BI24"/>
    <mergeCell ref="BB23:BC23"/>
    <mergeCell ref="BB20:BC20"/>
    <mergeCell ref="BB17:BC17"/>
    <mergeCell ref="BN17:BO17"/>
    <mergeCell ref="BE19:BF19"/>
    <mergeCell ref="BE20:BF20"/>
    <mergeCell ref="BE21:BF21"/>
    <mergeCell ref="BE22:BF22"/>
    <mergeCell ref="AY37:AZ37"/>
    <mergeCell ref="BB37:BC37"/>
    <mergeCell ref="BH37:BI37"/>
    <mergeCell ref="BN37:BO37"/>
    <mergeCell ref="BQ37:BS37"/>
    <mergeCell ref="E37:G37"/>
    <mergeCell ref="I37:J37"/>
    <mergeCell ref="L37:M37"/>
    <mergeCell ref="O37:P37"/>
    <mergeCell ref="R37:S37"/>
    <mergeCell ref="U37:V37"/>
    <mergeCell ref="X37:Y37"/>
    <mergeCell ref="AA37:AB37"/>
    <mergeCell ref="AD37:AE37"/>
    <mergeCell ref="AS37:AT37"/>
    <mergeCell ref="AV37:AW37"/>
    <mergeCell ref="AG37:AH37"/>
    <mergeCell ref="AJ37:AK37"/>
    <mergeCell ref="AM2:AN2"/>
    <mergeCell ref="AP2:AQ2"/>
    <mergeCell ref="AS2:AT2"/>
    <mergeCell ref="AV2:AW2"/>
    <mergeCell ref="AM11:AN11"/>
    <mergeCell ref="AP11:AQ11"/>
    <mergeCell ref="AS11:AT11"/>
    <mergeCell ref="AV11:AW11"/>
    <mergeCell ref="AM12:AN12"/>
    <mergeCell ref="AP12:AQ12"/>
    <mergeCell ref="AS12:AT12"/>
    <mergeCell ref="AV12:AW12"/>
    <mergeCell ref="AP14:AQ14"/>
    <mergeCell ref="AS14:AT14"/>
    <mergeCell ref="AV14:AW14"/>
    <mergeCell ref="AM15:AN15"/>
    <mergeCell ref="AP15:AQ15"/>
    <mergeCell ref="AS15:AT15"/>
    <mergeCell ref="AV15:AW15"/>
    <mergeCell ref="AM16:AN16"/>
    <mergeCell ref="AP16:AQ16"/>
    <mergeCell ref="AS16:AT16"/>
    <mergeCell ref="AV16:AW16"/>
    <mergeCell ref="AM17:AN17"/>
    <mergeCell ref="AP17:AQ17"/>
    <mergeCell ref="AM18:AN18"/>
    <mergeCell ref="AP18:AQ18"/>
    <mergeCell ref="AS18:AT18"/>
    <mergeCell ref="AV18:AW18"/>
    <mergeCell ref="AM19:AN19"/>
    <mergeCell ref="AP19:AQ19"/>
    <mergeCell ref="AS19:AT19"/>
    <mergeCell ref="AV19:AW19"/>
    <mergeCell ref="AS17:AT17"/>
    <mergeCell ref="AV17:AW17"/>
    <mergeCell ref="AM20:AN20"/>
    <mergeCell ref="AP20:AQ20"/>
    <mergeCell ref="AS20:AT20"/>
    <mergeCell ref="AV20:AW20"/>
    <mergeCell ref="AM21:AN21"/>
    <mergeCell ref="AP21:AQ21"/>
    <mergeCell ref="AS21:AT21"/>
    <mergeCell ref="AV21:AW21"/>
    <mergeCell ref="AM22:AN22"/>
    <mergeCell ref="AP22:AQ22"/>
    <mergeCell ref="AS22:AT22"/>
    <mergeCell ref="AV22:AW22"/>
    <mergeCell ref="AV25:AW25"/>
    <mergeCell ref="AP26:AQ26"/>
    <mergeCell ref="AS26:AT26"/>
    <mergeCell ref="AV26:AW26"/>
    <mergeCell ref="AM27:AN27"/>
    <mergeCell ref="AP27:AQ27"/>
    <mergeCell ref="AS27:AT27"/>
    <mergeCell ref="AV27:AW27"/>
    <mergeCell ref="AM28:AN28"/>
    <mergeCell ref="AP28:AQ28"/>
    <mergeCell ref="AS28:AT28"/>
    <mergeCell ref="AV28:AW28"/>
    <mergeCell ref="AP30:AQ30"/>
    <mergeCell ref="AS30:AT30"/>
    <mergeCell ref="AV30:AW30"/>
    <mergeCell ref="AM31:AN31"/>
    <mergeCell ref="AP31:AQ31"/>
    <mergeCell ref="AS31:AT31"/>
    <mergeCell ref="AV31:AW31"/>
    <mergeCell ref="AM32:AN32"/>
    <mergeCell ref="AP32:AQ32"/>
    <mergeCell ref="AS32:AT32"/>
    <mergeCell ref="AV32:AW32"/>
    <mergeCell ref="AM33:AN33"/>
    <mergeCell ref="AP33:AQ33"/>
    <mergeCell ref="AS33:AT33"/>
    <mergeCell ref="AV33:AW33"/>
    <mergeCell ref="AM34:AN34"/>
    <mergeCell ref="AP34:AQ34"/>
    <mergeCell ref="AS34:AT34"/>
    <mergeCell ref="AV34:AW34"/>
    <mergeCell ref="AG38:AH38"/>
    <mergeCell ref="AJ38:AK38"/>
    <mergeCell ref="AM38:AN38"/>
    <mergeCell ref="AP38:AQ38"/>
    <mergeCell ref="AS38:AT38"/>
    <mergeCell ref="AV38:AW38"/>
    <mergeCell ref="AM35:AN35"/>
    <mergeCell ref="AP35:AQ35"/>
    <mergeCell ref="AS35:AT35"/>
    <mergeCell ref="AV35:AW35"/>
    <mergeCell ref="AM36:AN36"/>
    <mergeCell ref="AP36:AQ36"/>
    <mergeCell ref="AS36:AT36"/>
    <mergeCell ref="AV36:AW36"/>
    <mergeCell ref="AM37:AN37"/>
    <mergeCell ref="AP37:AQ37"/>
    <mergeCell ref="AJ36:AK36"/>
    <mergeCell ref="E38:G38"/>
    <mergeCell ref="I38:J38"/>
    <mergeCell ref="L38:M38"/>
    <mergeCell ref="O38:P38"/>
    <mergeCell ref="R38:S38"/>
    <mergeCell ref="U38:V38"/>
    <mergeCell ref="X38:Y38"/>
    <mergeCell ref="AA38:AB38"/>
    <mergeCell ref="AD38:AE38"/>
    <mergeCell ref="E36:G36"/>
    <mergeCell ref="I36:J36"/>
    <mergeCell ref="L36:M36"/>
    <mergeCell ref="AY38:AZ38"/>
    <mergeCell ref="BB38:BC38"/>
    <mergeCell ref="BH38:BI38"/>
    <mergeCell ref="BN38:BO38"/>
    <mergeCell ref="BQ38:BS38"/>
    <mergeCell ref="AM39:AN39"/>
    <mergeCell ref="AP39:AQ39"/>
    <mergeCell ref="AS39:AT39"/>
    <mergeCell ref="AV39:AW39"/>
  </mergeCells>
  <phoneticPr fontId="19" type="noConversion"/>
  <pageMargins left="0.78749999999999998" right="0.78749999999999998" top="0.78749999999999998" bottom="0.78749999999999998" header="9.8611111111111122E-2" footer="9.8611111111111122E-2"/>
  <pageSetup paperSize="9" fitToHeight="0" orientation="portrait" useFirstPageNumber="1" horizontalDpi="300" verticalDpi="300"/>
  <headerFooter alignWithMargins="0">
    <oddHeader>&amp;C&amp;10&amp;A</oddHeader>
    <oddFooter>&amp;C&amp;10Page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Stefan Bleeck</cp:lastModifiedBy>
  <cp:revision>65</cp:revision>
  <cp:lastPrinted>1601-01-01T06:00:00Z</cp:lastPrinted>
  <dcterms:created xsi:type="dcterms:W3CDTF">2003-10-16T12:33:20Z</dcterms:created>
  <dcterms:modified xsi:type="dcterms:W3CDTF">2026-03-06T13:59:18Z</dcterms:modified>
</cp:coreProperties>
</file>